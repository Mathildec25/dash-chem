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éjane Gradelet\Thèse\3_Lab notebook\RG-051\"/>
    </mc:Choice>
  </mc:AlternateContent>
  <xr:revisionPtr revIDLastSave="0" documentId="13_ncr:1_{460A37AA-7478-40A4-97A0-61E4416AFC2A}" xr6:coauthVersionLast="47" xr6:coauthVersionMax="47" xr10:uidLastSave="{00000000-0000-0000-0000-000000000000}"/>
  <bookViews>
    <workbookView xWindow="-28920" yWindow="-10470" windowWidth="29040" windowHeight="15720" xr2:uid="{9A6386A5-42C7-43E4-A528-18537606C8A3}"/>
  </bookViews>
  <sheets>
    <sheet name="Results" sheetId="1" r:id="rId1"/>
    <sheet name="Real mass" sheetId="2" r:id="rId2"/>
    <sheet name="Feuil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8" i="1" l="1"/>
  <c r="K48" i="1" s="1"/>
  <c r="N48" i="1"/>
  <c r="M48" i="1"/>
  <c r="L48" i="1"/>
  <c r="O47" i="1"/>
  <c r="N47" i="1"/>
  <c r="M47" i="1"/>
  <c r="L47" i="1"/>
  <c r="K47" i="1"/>
  <c r="O45" i="1"/>
  <c r="K45" i="1" s="1"/>
  <c r="O44" i="1"/>
  <c r="L44" i="1" s="1"/>
  <c r="M44" i="1"/>
  <c r="K44" i="1"/>
  <c r="O43" i="1"/>
  <c r="L43" i="1" s="1"/>
  <c r="M43" i="1"/>
  <c r="O42" i="1"/>
  <c r="L42" i="1" s="1"/>
  <c r="N42" i="1"/>
  <c r="M42" i="1"/>
  <c r="O40" i="1"/>
  <c r="L40" i="1" s="1"/>
  <c r="O39" i="1"/>
  <c r="N39" i="1" s="1"/>
  <c r="M39" i="1"/>
  <c r="L39" i="1"/>
  <c r="K39" i="1"/>
  <c r="N38" i="1"/>
  <c r="O38" i="1"/>
  <c r="M38" i="1" s="1"/>
  <c r="O37" i="1"/>
  <c r="M37" i="1" s="1"/>
  <c r="O14" i="1"/>
  <c r="N14" i="1" s="1"/>
  <c r="O12" i="1"/>
  <c r="N12" i="1" s="1"/>
  <c r="M14" i="1"/>
  <c r="L14" i="1"/>
  <c r="K14" i="1"/>
  <c r="O15" i="1"/>
  <c r="N15" i="1" s="1"/>
  <c r="O13" i="1"/>
  <c r="K13" i="1" s="1"/>
  <c r="H177" i="2"/>
  <c r="I182" i="2" s="1"/>
  <c r="F177" i="2"/>
  <c r="H176" i="2"/>
  <c r="I181" i="2" s="1"/>
  <c r="F176" i="2"/>
  <c r="H173" i="2"/>
  <c r="H182" i="2" s="1"/>
  <c r="F173" i="2"/>
  <c r="H172" i="2"/>
  <c r="H181" i="2" s="1"/>
  <c r="F172" i="2"/>
  <c r="M40" i="1" l="1"/>
  <c r="K38" i="1"/>
  <c r="N40" i="1"/>
  <c r="N44" i="1"/>
  <c r="L38" i="1"/>
  <c r="K42" i="1"/>
  <c r="L45" i="1"/>
  <c r="M45" i="1"/>
  <c r="N45" i="1"/>
  <c r="N43" i="1"/>
  <c r="K40" i="1"/>
  <c r="K43" i="1"/>
  <c r="N37" i="1"/>
  <c r="K37" i="1"/>
  <c r="L37" i="1"/>
  <c r="K12" i="1"/>
  <c r="L12" i="1"/>
  <c r="M12" i="1"/>
  <c r="L15" i="1"/>
  <c r="M15" i="1"/>
  <c r="L13" i="1"/>
  <c r="M13" i="1"/>
  <c r="N13" i="1"/>
  <c r="K15" i="1"/>
  <c r="J182" i="2"/>
  <c r="J181" i="2"/>
  <c r="H166" i="2" l="1"/>
  <c r="I165" i="2"/>
  <c r="H165" i="2"/>
  <c r="O2" i="1"/>
  <c r="M2" i="1" s="1"/>
  <c r="K2" i="1"/>
  <c r="O7" i="1"/>
  <c r="N7" i="1" s="1"/>
  <c r="H161" i="2"/>
  <c r="I166" i="2" s="1"/>
  <c r="F161" i="2"/>
  <c r="H160" i="2"/>
  <c r="F160" i="2"/>
  <c r="H157" i="2"/>
  <c r="F157" i="2"/>
  <c r="H156" i="2"/>
  <c r="F156" i="2"/>
  <c r="I150" i="2"/>
  <c r="H150" i="2"/>
  <c r="I149" i="2"/>
  <c r="H149" i="2"/>
  <c r="H144" i="2"/>
  <c r="H140" i="2"/>
  <c r="F140" i="2"/>
  <c r="F141" i="2"/>
  <c r="H141" i="2"/>
  <c r="F144" i="2"/>
  <c r="F145" i="2"/>
  <c r="H145" i="2"/>
  <c r="O9" i="1"/>
  <c r="K9" i="1" s="1"/>
  <c r="O6" i="1"/>
  <c r="K6" i="1" s="1"/>
  <c r="O4" i="1"/>
  <c r="L4" i="1" s="1"/>
  <c r="N4" i="1"/>
  <c r="M4" i="1"/>
  <c r="O11" i="1"/>
  <c r="L11" i="1" s="1"/>
  <c r="I131" i="2"/>
  <c r="F126" i="2"/>
  <c r="F118" i="2"/>
  <c r="F121" i="2"/>
  <c r="H127" i="2"/>
  <c r="I134" i="2" s="1"/>
  <c r="F127" i="2"/>
  <c r="H126" i="2"/>
  <c r="I133" i="2" s="1"/>
  <c r="H125" i="2"/>
  <c r="I132" i="2" s="1"/>
  <c r="F125" i="2"/>
  <c r="H124" i="2"/>
  <c r="F124" i="2"/>
  <c r="H121" i="2"/>
  <c r="H134" i="2" s="1"/>
  <c r="H120" i="2"/>
  <c r="H133" i="2" s="1"/>
  <c r="F120" i="2"/>
  <c r="H119" i="2"/>
  <c r="H132" i="2" s="1"/>
  <c r="F119" i="2"/>
  <c r="H118" i="2"/>
  <c r="H131" i="2" s="1"/>
  <c r="O32" i="1"/>
  <c r="N32" i="1" s="1"/>
  <c r="O33" i="1"/>
  <c r="M33" i="1" s="1"/>
  <c r="O34" i="1"/>
  <c r="K34" i="1" s="1"/>
  <c r="O35" i="1"/>
  <c r="N35" i="1" s="1"/>
  <c r="H109" i="2"/>
  <c r="H105" i="2"/>
  <c r="I109" i="2" s="1"/>
  <c r="F105" i="2"/>
  <c r="H104" i="2"/>
  <c r="I111" i="2" s="1"/>
  <c r="F104" i="2"/>
  <c r="H101" i="2"/>
  <c r="H112" i="2" s="1"/>
  <c r="F101" i="2"/>
  <c r="H100" i="2"/>
  <c r="H111" i="2" s="1"/>
  <c r="F100" i="2"/>
  <c r="H99" i="2"/>
  <c r="H110" i="2" s="1"/>
  <c r="F99" i="2"/>
  <c r="H98" i="2"/>
  <c r="F98" i="2"/>
  <c r="M32" i="1" l="1"/>
  <c r="L32" i="1"/>
  <c r="K32" i="1"/>
  <c r="L9" i="1"/>
  <c r="K7" i="1"/>
  <c r="L7" i="1"/>
  <c r="M9" i="1"/>
  <c r="N9" i="1"/>
  <c r="M7" i="1"/>
  <c r="L34" i="1"/>
  <c r="M34" i="1"/>
  <c r="N2" i="1"/>
  <c r="N34" i="1"/>
  <c r="M35" i="1"/>
  <c r="N33" i="1"/>
  <c r="N11" i="1"/>
  <c r="K11" i="1"/>
  <c r="L35" i="1"/>
  <c r="M11" i="1"/>
  <c r="K35" i="1"/>
  <c r="M6" i="1"/>
  <c r="K4" i="1"/>
  <c r="K33" i="1"/>
  <c r="N6" i="1"/>
  <c r="L2" i="1"/>
  <c r="L33" i="1"/>
  <c r="L6" i="1"/>
  <c r="J165" i="2"/>
  <c r="J166" i="2"/>
  <c r="J149" i="2"/>
  <c r="J150" i="2"/>
  <c r="I112" i="2"/>
  <c r="J112" i="2" s="1"/>
  <c r="I110" i="2"/>
  <c r="J110" i="2" s="1"/>
  <c r="J132" i="2"/>
  <c r="J133" i="2"/>
  <c r="J131" i="2"/>
  <c r="J134" i="2"/>
  <c r="J109" i="2"/>
  <c r="J111" i="2"/>
  <c r="O10" i="1" l="1"/>
  <c r="K10" i="1" s="1"/>
  <c r="O5" i="1"/>
  <c r="K5" i="1" s="1"/>
  <c r="O3" i="1"/>
  <c r="M3" i="1" s="1"/>
  <c r="O8" i="1"/>
  <c r="K8" i="1" s="1"/>
  <c r="H91" i="2"/>
  <c r="H90" i="2"/>
  <c r="F83" i="2"/>
  <c r="H85" i="2"/>
  <c r="I92" i="2" s="1"/>
  <c r="J92" i="2" s="1"/>
  <c r="F85" i="2"/>
  <c r="H79" i="2"/>
  <c r="H92" i="2" s="1"/>
  <c r="F79" i="2"/>
  <c r="H80" i="2"/>
  <c r="F80" i="2"/>
  <c r="H77" i="2"/>
  <c r="F77" i="2"/>
  <c r="H84" i="2"/>
  <c r="I90" i="2" s="1"/>
  <c r="F84" i="2"/>
  <c r="H83" i="2"/>
  <c r="I91" i="2" s="1"/>
  <c r="H78" i="2"/>
  <c r="H89" i="2" s="1"/>
  <c r="F78" i="2"/>
  <c r="N3" i="1" l="1"/>
  <c r="M8" i="1"/>
  <c r="M5" i="1"/>
  <c r="L5" i="1"/>
  <c r="N8" i="1"/>
  <c r="K3" i="1"/>
  <c r="L3" i="1"/>
  <c r="N5" i="1"/>
  <c r="L8" i="1"/>
  <c r="N10" i="1"/>
  <c r="M10" i="1"/>
  <c r="L10" i="1"/>
  <c r="J90" i="2"/>
  <c r="J91" i="2"/>
  <c r="I89" i="2"/>
  <c r="J89" i="2" l="1"/>
  <c r="O25" i="1"/>
  <c r="K25" i="1" s="1"/>
  <c r="O19" i="1"/>
  <c r="K19" i="1" s="1"/>
  <c r="O27" i="1"/>
  <c r="N27" i="1" s="1"/>
  <c r="H65" i="2"/>
  <c r="I70" i="2" s="1"/>
  <c r="F65" i="2"/>
  <c r="H64" i="2"/>
  <c r="I69" i="2" s="1"/>
  <c r="F64" i="2"/>
  <c r="H61" i="2"/>
  <c r="H69" i="2" s="1"/>
  <c r="F61" i="2"/>
  <c r="O23" i="1"/>
  <c r="M23" i="1" s="1"/>
  <c r="O29" i="1"/>
  <c r="M29" i="1" s="1"/>
  <c r="H50" i="2"/>
  <c r="I54" i="2" s="1"/>
  <c r="F50" i="2"/>
  <c r="H47" i="2"/>
  <c r="H55" i="2" s="1"/>
  <c r="F47" i="2"/>
  <c r="H46" i="2"/>
  <c r="F46" i="2"/>
  <c r="O24" i="1"/>
  <c r="M24" i="1" s="1"/>
  <c r="O31" i="1"/>
  <c r="N31" i="1" s="1"/>
  <c r="O26" i="1"/>
  <c r="L26" i="1" s="1"/>
  <c r="H34" i="2"/>
  <c r="I40" i="2" s="1"/>
  <c r="F34" i="2"/>
  <c r="H33" i="2"/>
  <c r="F33" i="2"/>
  <c r="H30" i="2"/>
  <c r="H40" i="2" s="1"/>
  <c r="F30" i="2"/>
  <c r="H29" i="2"/>
  <c r="H38" i="2" s="1"/>
  <c r="F29" i="2"/>
  <c r="H11" i="2"/>
  <c r="I18" i="2" s="1"/>
  <c r="H12" i="2"/>
  <c r="I21" i="2" s="1"/>
  <c r="H13" i="2"/>
  <c r="I23" i="2" s="1"/>
  <c r="H10" i="2"/>
  <c r="I19" i="2" s="1"/>
  <c r="H3" i="2"/>
  <c r="H19" i="2" s="1"/>
  <c r="H4" i="2"/>
  <c r="H20" i="2" s="1"/>
  <c r="H5" i="2"/>
  <c r="H21" i="2" s="1"/>
  <c r="H6" i="2"/>
  <c r="H22" i="2" s="1"/>
  <c r="H7" i="2"/>
  <c r="H23" i="2" s="1"/>
  <c r="H2" i="2"/>
  <c r="H17" i="2" s="1"/>
  <c r="F2" i="2"/>
  <c r="F11" i="2"/>
  <c r="F12" i="2"/>
  <c r="F13" i="2"/>
  <c r="F10" i="2"/>
  <c r="F3" i="2"/>
  <c r="F4" i="2"/>
  <c r="F5" i="2"/>
  <c r="F6" i="2"/>
  <c r="F7" i="2"/>
  <c r="O30" i="1"/>
  <c r="K30" i="1" s="1"/>
  <c r="O18" i="1"/>
  <c r="K18" i="1" s="1"/>
  <c r="O17" i="1"/>
  <c r="N17" i="1" s="1"/>
  <c r="O20" i="1"/>
  <c r="L20" i="1" s="1"/>
  <c r="O28" i="1"/>
  <c r="M28" i="1" s="1"/>
  <c r="O21" i="1"/>
  <c r="N21" i="1" s="1"/>
  <c r="O22" i="1"/>
  <c r="M22" i="1" s="1"/>
  <c r="N23" i="1" l="1"/>
  <c r="M26" i="1"/>
  <c r="M20" i="1"/>
  <c r="N20" i="1"/>
  <c r="K21" i="1"/>
  <c r="N30" i="1"/>
  <c r="N19" i="1"/>
  <c r="L21" i="1"/>
  <c r="K31" i="1"/>
  <c r="M30" i="1"/>
  <c r="M19" i="1"/>
  <c r="M21" i="1"/>
  <c r="K17" i="1"/>
  <c r="L30" i="1"/>
  <c r="L31" i="1"/>
  <c r="L19" i="1"/>
  <c r="L17" i="1"/>
  <c r="M31" i="1"/>
  <c r="M17" i="1"/>
  <c r="K29" i="1"/>
  <c r="K28" i="1"/>
  <c r="L29" i="1"/>
  <c r="N25" i="1"/>
  <c r="L28" i="1"/>
  <c r="K24" i="1"/>
  <c r="M25" i="1"/>
  <c r="N28" i="1"/>
  <c r="L18" i="1"/>
  <c r="L24" i="1"/>
  <c r="K27" i="1"/>
  <c r="L25" i="1"/>
  <c r="K22" i="1"/>
  <c r="M18" i="1"/>
  <c r="K26" i="1"/>
  <c r="K23" i="1"/>
  <c r="L27" i="1"/>
  <c r="L22" i="1"/>
  <c r="K20" i="1"/>
  <c r="N18" i="1"/>
  <c r="L23" i="1"/>
  <c r="M27" i="1"/>
  <c r="N22" i="1"/>
  <c r="I71" i="2"/>
  <c r="H70" i="2"/>
  <c r="H71" i="2"/>
  <c r="J69" i="2"/>
  <c r="J70" i="2"/>
  <c r="H18" i="2"/>
  <c r="J18" i="2" s="1"/>
  <c r="I55" i="2"/>
  <c r="J55" i="2" s="1"/>
  <c r="H54" i="2"/>
  <c r="J54" i="2" s="1"/>
  <c r="H39" i="2"/>
  <c r="I39" i="2"/>
  <c r="J19" i="2"/>
  <c r="J21" i="2"/>
  <c r="I17" i="2"/>
  <c r="J17" i="2" s="1"/>
  <c r="I20" i="2"/>
  <c r="J20" i="2" s="1"/>
  <c r="J23" i="2"/>
  <c r="I22" i="2"/>
  <c r="J22" i="2" s="1"/>
  <c r="J40" i="2"/>
  <c r="I38" i="2"/>
  <c r="J38" i="2" s="1"/>
  <c r="J71" i="2" l="1"/>
  <c r="J39" i="2"/>
</calcChain>
</file>

<file path=xl/sharedStrings.xml><?xml version="1.0" encoding="utf-8"?>
<sst xmlns="http://schemas.openxmlformats.org/spreadsheetml/2006/main" count="777" uniqueCount="139">
  <si>
    <t>Exp No</t>
  </si>
  <si>
    <t>Exp Name</t>
  </si>
  <si>
    <t>Run Order</t>
  </si>
  <si>
    <t>Incl/Excl</t>
  </si>
  <si>
    <t>Temperature</t>
  </si>
  <si>
    <t>Equivalents nitrosobenzene</t>
  </si>
  <si>
    <t>Addition time</t>
  </si>
  <si>
    <t>Reaction time</t>
  </si>
  <si>
    <t>Concentration</t>
  </si>
  <si>
    <t>Solvent</t>
  </si>
  <si>
    <t>N2</t>
  </si>
  <si>
    <t>Incl</t>
  </si>
  <si>
    <t>1.5</t>
  </si>
  <si>
    <t>0.1</t>
  </si>
  <si>
    <t>N3</t>
  </si>
  <si>
    <t>N4</t>
  </si>
  <si>
    <t>0.5</t>
  </si>
  <si>
    <t>N6</t>
  </si>
  <si>
    <t>N10</t>
  </si>
  <si>
    <t>N12</t>
  </si>
  <si>
    <t>ACN</t>
  </si>
  <si>
    <t>N13</t>
  </si>
  <si>
    <t>N17</t>
  </si>
  <si>
    <t>N18</t>
  </si>
  <si>
    <t>N19</t>
  </si>
  <si>
    <t>N22</t>
  </si>
  <si>
    <t>toluene</t>
  </si>
  <si>
    <t>N23</t>
  </si>
  <si>
    <t>N26</t>
  </si>
  <si>
    <t>N28</t>
  </si>
  <si>
    <t>N29</t>
  </si>
  <si>
    <t>N21</t>
  </si>
  <si>
    <t>7.5</t>
  </si>
  <si>
    <t>0.3</t>
  </si>
  <si>
    <t>N32</t>
  </si>
  <si>
    <t>N33</t>
  </si>
  <si>
    <t>N34</t>
  </si>
  <si>
    <t>N1</t>
  </si>
  <si>
    <t>N5</t>
  </si>
  <si>
    <t>N7</t>
  </si>
  <si>
    <t>N8</t>
  </si>
  <si>
    <t>N9</t>
  </si>
  <si>
    <t>N11</t>
  </si>
  <si>
    <t>N14</t>
  </si>
  <si>
    <t>N15</t>
  </si>
  <si>
    <t>N16</t>
  </si>
  <si>
    <t>N20</t>
  </si>
  <si>
    <t>N24</t>
  </si>
  <si>
    <t>N25</t>
  </si>
  <si>
    <t>N27</t>
  </si>
  <si>
    <t>N30</t>
  </si>
  <si>
    <t>N31</t>
  </si>
  <si>
    <t xml:space="preserve">Color at the end </t>
  </si>
  <si>
    <t>DCM</t>
  </si>
  <si>
    <t xml:space="preserve"> % 7 (3,74 / 168)</t>
  </si>
  <si>
    <t xml:space="preserve"> % 5 (3,66 / 176)</t>
  </si>
  <si>
    <t>% 3 (3,65 / 171)</t>
  </si>
  <si>
    <t>% 1 (3,52 / 147)</t>
  </si>
  <si>
    <t>Comments</t>
  </si>
  <si>
    <t>Light green</t>
  </si>
  <si>
    <t>Dark orange</t>
  </si>
  <si>
    <t>New compound : 3,69 ppm / 173 ppm</t>
  </si>
  <si>
    <t>Orange</t>
  </si>
  <si>
    <t>Shift des pics</t>
  </si>
  <si>
    <t>Total Area</t>
  </si>
  <si>
    <t>Dark green</t>
  </si>
  <si>
    <t>M</t>
  </si>
  <si>
    <t>c</t>
  </si>
  <si>
    <t>V</t>
  </si>
  <si>
    <t>m</t>
  </si>
  <si>
    <t>m reel</t>
  </si>
  <si>
    <r>
      <t>S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</si>
  <si>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B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</si>
  <si>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C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</si>
  <si>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D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</si>
  <si>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E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</si>
  <si>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F</t>
    </r>
  </si>
  <si>
    <r>
      <t>N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</si>
  <si>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N</t>
    </r>
    <r>
      <rPr>
        <vertAlign val="subscript"/>
        <sz val="11"/>
        <color theme="1"/>
        <rFont val="Aptos Narrow"/>
        <family val="2"/>
        <scheme val="minor"/>
      </rPr>
      <t>B</t>
    </r>
  </si>
  <si>
    <r>
      <t>N</t>
    </r>
    <r>
      <rPr>
        <vertAlign val="subscript"/>
        <sz val="11"/>
        <color theme="1"/>
        <rFont val="Aptos Narrow"/>
        <family val="2"/>
        <scheme val="minor"/>
      </rPr>
      <t>C</t>
    </r>
  </si>
  <si>
    <r>
      <t>N</t>
    </r>
    <r>
      <rPr>
        <vertAlign val="subscript"/>
        <sz val="11"/>
        <color theme="1"/>
        <rFont val="Aptos Narrow"/>
        <family val="2"/>
        <scheme val="minor"/>
      </rPr>
      <t>D</t>
    </r>
  </si>
  <si>
    <t>Toluene</t>
  </si>
  <si>
    <t xml:space="preserve">Toluene </t>
  </si>
  <si>
    <t>Exp</t>
  </si>
  <si>
    <t>Volume</t>
  </si>
  <si>
    <t>Solution</t>
  </si>
  <si>
    <t xml:space="preserve">Solution </t>
  </si>
  <si>
    <t>Silylated enol ether</t>
  </si>
  <si>
    <t>Nitrosobenzene</t>
  </si>
  <si>
    <t>c reel</t>
  </si>
  <si>
    <t>Real</t>
  </si>
  <si>
    <t>C (silyl. enol ether)</t>
  </si>
  <si>
    <t>C (nitroso.)</t>
  </si>
  <si>
    <t>Equiv. (nitroso.)</t>
  </si>
  <si>
    <r>
      <t>S</t>
    </r>
    <r>
      <rPr>
        <b/>
        <vertAlign val="subscript"/>
        <sz val="11"/>
        <color theme="1"/>
        <rFont val="Aptos Narrow"/>
        <family val="2"/>
        <scheme val="minor"/>
      </rPr>
      <t>A</t>
    </r>
  </si>
  <si>
    <r>
      <t>S</t>
    </r>
    <r>
      <rPr>
        <b/>
        <vertAlign val="subscript"/>
        <sz val="11"/>
        <color theme="1"/>
        <rFont val="Aptos Narrow"/>
        <family val="2"/>
        <scheme val="minor"/>
      </rPr>
      <t>B</t>
    </r>
  </si>
  <si>
    <r>
      <t>S</t>
    </r>
    <r>
      <rPr>
        <b/>
        <vertAlign val="subscript"/>
        <sz val="11"/>
        <color theme="1"/>
        <rFont val="Aptos Narrow"/>
        <family val="2"/>
        <scheme val="minor"/>
      </rPr>
      <t>C</t>
    </r>
  </si>
  <si>
    <r>
      <t>S</t>
    </r>
    <r>
      <rPr>
        <b/>
        <vertAlign val="subscript"/>
        <sz val="11"/>
        <color theme="1"/>
        <rFont val="Aptos Narrow"/>
        <family val="2"/>
        <scheme val="minor"/>
      </rPr>
      <t>D</t>
    </r>
  </si>
  <si>
    <r>
      <t>S</t>
    </r>
    <r>
      <rPr>
        <b/>
        <vertAlign val="subscript"/>
        <sz val="11"/>
        <color theme="1"/>
        <rFont val="Aptos Narrow"/>
        <family val="2"/>
        <scheme val="minor"/>
      </rPr>
      <t>E</t>
    </r>
  </si>
  <si>
    <r>
      <t>S</t>
    </r>
    <r>
      <rPr>
        <b/>
        <vertAlign val="subscript"/>
        <sz val="11"/>
        <color theme="1"/>
        <rFont val="Aptos Narrow"/>
        <family val="2"/>
        <scheme val="minor"/>
      </rPr>
      <t>F</t>
    </r>
  </si>
  <si>
    <r>
      <t>N</t>
    </r>
    <r>
      <rPr>
        <b/>
        <vertAlign val="subscript"/>
        <sz val="11"/>
        <color theme="1"/>
        <rFont val="Aptos Narrow"/>
        <family val="2"/>
        <scheme val="minor"/>
      </rPr>
      <t>A</t>
    </r>
  </si>
  <si>
    <r>
      <t>N</t>
    </r>
    <r>
      <rPr>
        <b/>
        <vertAlign val="subscript"/>
        <sz val="11"/>
        <color theme="1"/>
        <rFont val="Aptos Narrow"/>
        <family val="2"/>
        <scheme val="minor"/>
      </rPr>
      <t>B</t>
    </r>
  </si>
  <si>
    <r>
      <t>N</t>
    </r>
    <r>
      <rPr>
        <b/>
        <vertAlign val="subscript"/>
        <sz val="11"/>
        <color theme="1"/>
        <rFont val="Aptos Narrow"/>
        <family val="2"/>
        <scheme val="minor"/>
      </rPr>
      <t>C</t>
    </r>
  </si>
  <si>
    <r>
      <t>N</t>
    </r>
    <r>
      <rPr>
        <b/>
        <vertAlign val="subscript"/>
        <sz val="11"/>
        <color theme="1"/>
        <rFont val="Aptos Narrow"/>
        <family val="2"/>
        <scheme val="minor"/>
      </rPr>
      <t>D</t>
    </r>
  </si>
  <si>
    <t>Yellow</t>
  </si>
  <si>
    <t>Dark brown</t>
  </si>
  <si>
    <t>Shift des pics - New compound : 3,69 ppm / 173 ppm</t>
  </si>
  <si>
    <t>Orange-Red</t>
  </si>
  <si>
    <t xml:space="preserve">Green </t>
  </si>
  <si>
    <t>18-11-2024 AM</t>
  </si>
  <si>
    <t>18-11-2024 PM</t>
  </si>
  <si>
    <t>Brown - green</t>
  </si>
  <si>
    <t xml:space="preserve">Compound </t>
  </si>
  <si>
    <t>Temp</t>
  </si>
  <si>
    <t>Equiv.</t>
  </si>
  <si>
    <t>AT.</t>
  </si>
  <si>
    <t>RT</t>
  </si>
  <si>
    <t>C</t>
  </si>
  <si>
    <t>R²</t>
  </si>
  <si>
    <t>Q²</t>
  </si>
  <si>
    <t>Model. Val.</t>
  </si>
  <si>
    <t>Reproducibility</t>
  </si>
  <si>
    <t>/</t>
  </si>
  <si>
    <t>-6.5</t>
  </si>
  <si>
    <t>1.2</t>
  </si>
  <si>
    <t>0.46</t>
  </si>
  <si>
    <t>Cyclohexane</t>
  </si>
  <si>
    <t>CHCl3</t>
  </si>
  <si>
    <t>Eth. Acet.</t>
  </si>
  <si>
    <t>Solubility problem</t>
  </si>
  <si>
    <t>Green</t>
  </si>
  <si>
    <t>RG-M047</t>
  </si>
  <si>
    <t>A</t>
  </si>
  <si>
    <t>B</t>
  </si>
  <si>
    <t>D</t>
  </si>
  <si>
    <t>RG-M048</t>
  </si>
  <si>
    <t>47-A</t>
  </si>
  <si>
    <t>RG-M051</t>
  </si>
  <si>
    <t>inverse order addition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</si>
</sst>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DFFB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9" fontId="1" fillId="0" borderId="11" xfId="0" quotePrefix="1" applyNumberFormat="1" applyFont="1" applyBorder="1" applyAlignment="1">
      <alignment horizontal="center" vertical="center" wrapText="1"/>
    </xf>
    <xf numFmtId="0" fontId="1" fillId="0" borderId="12" xfId="0" quotePrefix="1" applyFont="1" applyBorder="1" applyAlignment="1">
      <alignment horizontal="center" vertical="center" wrapText="1"/>
    </xf>
    <xf numFmtId="0" fontId="1" fillId="0" borderId="13" xfId="0" quotePrefix="1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 vertical="center"/>
    </xf>
    <xf numFmtId="11" fontId="0" fillId="0" borderId="1" xfId="0" applyNumberFormat="1" applyBorder="1" applyAlignment="1">
      <alignment horizontal="center"/>
    </xf>
    <xf numFmtId="11" fontId="0" fillId="0" borderId="1" xfId="0" applyNumberFormat="1" applyBorder="1"/>
    <xf numFmtId="2" fontId="0" fillId="0" borderId="1" xfId="0" applyNumberFormat="1" applyBorder="1" applyAlignment="1">
      <alignment horizontal="center"/>
    </xf>
    <xf numFmtId="0" fontId="0" fillId="0" borderId="26" xfId="0" applyBorder="1"/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2" fontId="0" fillId="0" borderId="0" xfId="0" applyNumberFormat="1"/>
    <xf numFmtId="2" fontId="1" fillId="0" borderId="1" xfId="0" applyNumberFormat="1" applyFont="1" applyBorder="1" applyAlignment="1">
      <alignment horizontal="center" vertical="center" wrapText="1"/>
    </xf>
    <xf numFmtId="2" fontId="0" fillId="0" borderId="26" xfId="0" applyNumberFormat="1" applyBorder="1"/>
    <xf numFmtId="0" fontId="0" fillId="0" borderId="0" xfId="0" applyAlignment="1">
      <alignment horizontal="center" vertical="center" wrapText="1"/>
    </xf>
    <xf numFmtId="0" fontId="0" fillId="6" borderId="8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0" fontId="0" fillId="0" borderId="1" xfId="0" quotePrefix="1" applyNumberFormat="1" applyBorder="1" applyAlignment="1">
      <alignment horizontal="center" vertical="center"/>
    </xf>
    <xf numFmtId="10" fontId="0" fillId="0" borderId="3" xfId="0" quotePrefix="1" applyNumberFormat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0" fontId="0" fillId="0" borderId="27" xfId="0" applyNumberFormat="1" applyBorder="1" applyAlignment="1">
      <alignment horizontal="center" vertical="center"/>
    </xf>
    <xf numFmtId="10" fontId="0" fillId="0" borderId="28" xfId="0" applyNumberFormat="1" applyBorder="1" applyAlignment="1">
      <alignment horizontal="center" vertical="center"/>
    </xf>
    <xf numFmtId="10" fontId="0" fillId="0" borderId="16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0" fontId="0" fillId="10" borderId="2" xfId="0" applyNumberFormat="1" applyFill="1" applyBorder="1" applyAlignment="1">
      <alignment horizontal="center" vertical="center"/>
    </xf>
    <xf numFmtId="10" fontId="0" fillId="10" borderId="1" xfId="0" applyNumberFormat="1" applyFill="1" applyBorder="1" applyAlignment="1">
      <alignment horizontal="center" vertical="center"/>
    </xf>
    <xf numFmtId="10" fontId="0" fillId="10" borderId="3" xfId="0" applyNumberForma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10" fontId="0" fillId="11" borderId="2" xfId="0" applyNumberFormat="1" applyFill="1" applyBorder="1" applyAlignment="1">
      <alignment horizontal="center" vertical="center"/>
    </xf>
    <xf numFmtId="10" fontId="0" fillId="11" borderId="1" xfId="0" applyNumberFormat="1" applyFill="1" applyBorder="1" applyAlignment="1">
      <alignment horizontal="center" vertical="center"/>
    </xf>
    <xf numFmtId="10" fontId="0" fillId="11" borderId="3" xfId="0" applyNumberFormat="1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1" borderId="20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4" borderId="16" xfId="0" quotePrefix="1" applyFill="1" applyBorder="1" applyAlignment="1">
      <alignment horizontal="center" vertical="center"/>
    </xf>
    <xf numFmtId="0" fontId="0" fillId="5" borderId="16" xfId="0" quotePrefix="1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 wrapText="1"/>
    </xf>
    <xf numFmtId="0" fontId="1" fillId="5" borderId="25" xfId="0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A5FD"/>
      <color rgb="FFFDFF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7275426157261523E-2"/>
          <c:y val="0.17368726847685573"/>
          <c:w val="0.90762614540400122"/>
          <c:h val="0.68599627578362854"/>
        </c:manualLayout>
      </c:layout>
      <c:barChart>
        <c:barDir val="col"/>
        <c:grouping val="clustered"/>
        <c:varyColors val="0"/>
        <c:ser>
          <c:idx val="0"/>
          <c:order val="0"/>
          <c:tx>
            <c:v>Concentration (mol/L)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Feuil2!$B$1:$E$1</c:f>
              <c:numCache>
                <c:formatCode>General</c:formatCode>
                <c:ptCount val="4"/>
                <c:pt idx="0">
                  <c:v>7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</c:numCache>
            </c:numRef>
          </c:cat>
          <c:val>
            <c:numRef>
              <c:f>Feuil2!$B$6:$E$6</c:f>
              <c:numCache>
                <c:formatCode>General</c:formatCode>
                <c:ptCount val="4"/>
                <c:pt idx="0">
                  <c:v>0.16728199999999999</c:v>
                </c:pt>
                <c:pt idx="1">
                  <c:v>-0.51809300000000003</c:v>
                </c:pt>
                <c:pt idx="2">
                  <c:v>0.32292900000000002</c:v>
                </c:pt>
                <c:pt idx="3">
                  <c:v>9.90177E-2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99-4F1D-842A-E6B1097EF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6350624"/>
        <c:axId val="1056353504"/>
      </c:barChart>
      <c:catAx>
        <c:axId val="105635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56353504"/>
        <c:crosses val="autoZero"/>
        <c:auto val="1"/>
        <c:lblAlgn val="ctr"/>
        <c:lblOffset val="100"/>
        <c:noMultiLvlLbl val="0"/>
      </c:catAx>
      <c:valAx>
        <c:axId val="105635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5635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Solvent - DCM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Feuil2!$B$1:$E$1</c:f>
              <c:numCache>
                <c:formatCode>General</c:formatCode>
                <c:ptCount val="4"/>
                <c:pt idx="0">
                  <c:v>7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</c:numCache>
            </c:numRef>
          </c:cat>
          <c:val>
            <c:numRef>
              <c:f>Feuil2!$B$7:$E$7</c:f>
              <c:numCache>
                <c:formatCode>General</c:formatCode>
                <c:ptCount val="4"/>
                <c:pt idx="0">
                  <c:v>-8.6704299999999998E-3</c:v>
                </c:pt>
                <c:pt idx="1">
                  <c:v>5.6013100000000003E-2</c:v>
                </c:pt>
                <c:pt idx="2">
                  <c:v>0.116574</c:v>
                </c:pt>
                <c:pt idx="3">
                  <c:v>-3.4127900000000003E-2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8D-45A4-8E99-D047C3AAE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6350624"/>
        <c:axId val="1056353504"/>
      </c:barChart>
      <c:catAx>
        <c:axId val="105635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56353504"/>
        <c:crosses val="autoZero"/>
        <c:auto val="1"/>
        <c:lblAlgn val="ctr"/>
        <c:lblOffset val="100"/>
        <c:noMultiLvlLbl val="0"/>
      </c:catAx>
      <c:valAx>
        <c:axId val="105635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5635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Solvent- ACN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Feuil2!$B$1:$E$1</c:f>
              <c:numCache>
                <c:formatCode>General</c:formatCode>
                <c:ptCount val="4"/>
                <c:pt idx="0">
                  <c:v>7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</c:numCache>
            </c:numRef>
          </c:cat>
          <c:val>
            <c:numRef>
              <c:f>Feuil2!$B$8:$E$8</c:f>
              <c:numCache>
                <c:formatCode>General</c:formatCode>
                <c:ptCount val="4"/>
                <c:pt idx="0">
                  <c:v>1.23774E-2</c:v>
                </c:pt>
                <c:pt idx="1">
                  <c:v>0.27418300000000001</c:v>
                </c:pt>
                <c:pt idx="2">
                  <c:v>0.14525199999999999</c:v>
                </c:pt>
                <c:pt idx="3">
                  <c:v>-0.15227399999999999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F-493F-AECA-4846843C3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6350624"/>
        <c:axId val="1056353504"/>
      </c:barChart>
      <c:catAx>
        <c:axId val="105635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56353504"/>
        <c:crosses val="autoZero"/>
        <c:auto val="1"/>
        <c:lblAlgn val="ctr"/>
        <c:lblOffset val="100"/>
        <c:noMultiLvlLbl val="0"/>
      </c:catAx>
      <c:valAx>
        <c:axId val="105635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5635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Solvent- Toluene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Feuil2!$B$1:$E$1</c:f>
              <c:numCache>
                <c:formatCode>General</c:formatCode>
                <c:ptCount val="4"/>
                <c:pt idx="0">
                  <c:v>7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</c:numCache>
            </c:numRef>
          </c:cat>
          <c:val>
            <c:numRef>
              <c:f>Feuil2!$B$9:$E$9</c:f>
              <c:numCache>
                <c:formatCode>General</c:formatCode>
                <c:ptCount val="4"/>
                <c:pt idx="0">
                  <c:v>-3.7070200000000001E-3</c:v>
                </c:pt>
                <c:pt idx="1">
                  <c:v>-0.33019599999999999</c:v>
                </c:pt>
                <c:pt idx="2">
                  <c:v>-0.261826</c:v>
                </c:pt>
                <c:pt idx="3">
                  <c:v>0.18640200000000001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A4-4FB3-9892-DBE53073A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6350624"/>
        <c:axId val="1056353504"/>
      </c:barChart>
      <c:catAx>
        <c:axId val="105635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56353504"/>
        <c:crosses val="autoZero"/>
        <c:auto val="1"/>
        <c:lblAlgn val="ctr"/>
        <c:lblOffset val="100"/>
        <c:noMultiLvlLbl val="0"/>
      </c:catAx>
      <c:valAx>
        <c:axId val="105635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5635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Temp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Feuil2!$B$1:$E$1</c:f>
              <c:numCache>
                <c:formatCode>General</c:formatCode>
                <c:ptCount val="4"/>
                <c:pt idx="0">
                  <c:v>7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</c:numCache>
            </c:numRef>
          </c:cat>
          <c:val>
            <c:numRef>
              <c:f>Feuil2!$B$2:$E$2</c:f>
              <c:numCache>
                <c:formatCode>General</c:formatCode>
                <c:ptCount val="4"/>
                <c:pt idx="0">
                  <c:v>0.20691399999999999</c:v>
                </c:pt>
                <c:pt idx="1">
                  <c:v>0.15246000000000001</c:v>
                </c:pt>
                <c:pt idx="2">
                  <c:v>3.82739E-2</c:v>
                </c:pt>
                <c:pt idx="3">
                  <c:v>-0.17756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9-408D-BB48-B89AD2793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4591471"/>
        <c:axId val="754600111"/>
      </c:barChart>
      <c:catAx>
        <c:axId val="75459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4600111"/>
        <c:crosses val="autoZero"/>
        <c:auto val="1"/>
        <c:lblAlgn val="ctr"/>
        <c:lblOffset val="100"/>
        <c:noMultiLvlLbl val="0"/>
      </c:catAx>
      <c:valAx>
        <c:axId val="75460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4591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BE"/>
              <a:t>Equiv.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Temp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Feuil2!$B$1:$E$1</c:f>
              <c:numCache>
                <c:formatCode>General</c:formatCode>
                <c:ptCount val="4"/>
                <c:pt idx="0">
                  <c:v>7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</c:numCache>
            </c:numRef>
          </c:cat>
          <c:val>
            <c:numRef>
              <c:f>Feuil2!$B$3:$E$3</c:f>
              <c:numCache>
                <c:formatCode>General</c:formatCode>
                <c:ptCount val="4"/>
                <c:pt idx="0">
                  <c:v>0.74321499999999996</c:v>
                </c:pt>
                <c:pt idx="1">
                  <c:v>4.7237099999999997E-2</c:v>
                </c:pt>
                <c:pt idx="2">
                  <c:v>0.62428399999999995</c:v>
                </c:pt>
                <c:pt idx="3">
                  <c:v>-0.58427799999999996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C4-4CEA-BAFC-18A421594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4591471"/>
        <c:axId val="754600111"/>
      </c:barChart>
      <c:catAx>
        <c:axId val="75459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4600111"/>
        <c:crosses val="autoZero"/>
        <c:auto val="1"/>
        <c:lblAlgn val="ctr"/>
        <c:lblOffset val="100"/>
        <c:noMultiLvlLbl val="0"/>
      </c:catAx>
      <c:valAx>
        <c:axId val="75460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4591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BE"/>
              <a:t>Addition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Temp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Feuil2!$B$1:$E$1</c:f>
              <c:numCache>
                <c:formatCode>General</c:formatCode>
                <c:ptCount val="4"/>
                <c:pt idx="0">
                  <c:v>7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</c:numCache>
            </c:numRef>
          </c:cat>
          <c:val>
            <c:numRef>
              <c:f>Feuil2!$B$4:$E$4</c:f>
              <c:numCache>
                <c:formatCode>General</c:formatCode>
                <c:ptCount val="4"/>
                <c:pt idx="0">
                  <c:v>-0.107209</c:v>
                </c:pt>
                <c:pt idx="1">
                  <c:v>-0.21726999999999999</c:v>
                </c:pt>
                <c:pt idx="2">
                  <c:v>0.113556</c:v>
                </c:pt>
                <c:pt idx="3">
                  <c:v>0.228689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7-4F8F-B8B9-749D963A3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4591471"/>
        <c:axId val="754600111"/>
      </c:barChart>
      <c:catAx>
        <c:axId val="75459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4600111"/>
        <c:crosses val="autoZero"/>
        <c:auto val="1"/>
        <c:lblAlgn val="ctr"/>
        <c:lblOffset val="100"/>
        <c:noMultiLvlLbl val="0"/>
      </c:catAx>
      <c:valAx>
        <c:axId val="75460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4591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BE"/>
              <a:t>Reaction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Temp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Feuil2!$B$1:$E$1</c:f>
              <c:numCache>
                <c:formatCode>General</c:formatCode>
                <c:ptCount val="4"/>
                <c:pt idx="0">
                  <c:v>7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</c:numCache>
            </c:numRef>
          </c:cat>
          <c:val>
            <c:numRef>
              <c:f>Feuil2!$B$5:$E$5</c:f>
              <c:numCache>
                <c:formatCode>General</c:formatCode>
                <c:ptCount val="4"/>
                <c:pt idx="0">
                  <c:v>0.32240600000000003</c:v>
                </c:pt>
                <c:pt idx="1">
                  <c:v>0.10236199999999999</c:v>
                </c:pt>
                <c:pt idx="2">
                  <c:v>0.259515</c:v>
                </c:pt>
                <c:pt idx="3">
                  <c:v>-0.304398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B6-4895-BEE9-349B74C65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4591471"/>
        <c:axId val="754600111"/>
      </c:barChart>
      <c:catAx>
        <c:axId val="75459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4600111"/>
        <c:crosses val="autoZero"/>
        <c:auto val="1"/>
        <c:lblAlgn val="ctr"/>
        <c:lblOffset val="100"/>
        <c:noMultiLvlLbl val="0"/>
      </c:catAx>
      <c:valAx>
        <c:axId val="75460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4591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32</xdr:row>
      <xdr:rowOff>125506</xdr:rowOff>
    </xdr:from>
    <xdr:to>
      <xdr:col>10</xdr:col>
      <xdr:colOff>609600</xdr:colOff>
      <xdr:row>49</xdr:row>
      <xdr:rowOff>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5E00E4C4-B039-48EB-846D-444CF5F1AB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726141</xdr:colOff>
      <xdr:row>32</xdr:row>
      <xdr:rowOff>161364</xdr:rowOff>
    </xdr:from>
    <xdr:to>
      <xdr:col>17</xdr:col>
      <xdr:colOff>546847</xdr:colOff>
      <xdr:row>47</xdr:row>
      <xdr:rowOff>161364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799F1CED-1C35-48E3-9D02-79FB6F36B3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51</xdr:row>
      <xdr:rowOff>0</xdr:rowOff>
    </xdr:from>
    <xdr:to>
      <xdr:col>10</xdr:col>
      <xdr:colOff>609600</xdr:colOff>
      <xdr:row>66</xdr:row>
      <xdr:rowOff>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C1080E11-F769-4CC3-97FF-55F1C6CE9E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51</xdr:row>
      <xdr:rowOff>0</xdr:rowOff>
    </xdr:from>
    <xdr:to>
      <xdr:col>16</xdr:col>
      <xdr:colOff>609600</xdr:colOff>
      <xdr:row>66</xdr:row>
      <xdr:rowOff>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DBC237EA-1624-4097-B660-8047A786C3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112058</xdr:colOff>
      <xdr:row>0</xdr:row>
      <xdr:rowOff>125506</xdr:rowOff>
    </xdr:from>
    <xdr:to>
      <xdr:col>10</xdr:col>
      <xdr:colOff>739588</xdr:colOff>
      <xdr:row>16</xdr:row>
      <xdr:rowOff>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03443466-C9EE-5711-A634-E691E2175A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</xdr:row>
      <xdr:rowOff>0</xdr:rowOff>
    </xdr:from>
    <xdr:to>
      <xdr:col>17</xdr:col>
      <xdr:colOff>627529</xdr:colOff>
      <xdr:row>16</xdr:row>
      <xdr:rowOff>53788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4597F934-CF6D-41D2-A331-918AEBEC5B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80682</xdr:colOff>
      <xdr:row>16</xdr:row>
      <xdr:rowOff>116541</xdr:rowOff>
    </xdr:from>
    <xdr:to>
      <xdr:col>10</xdr:col>
      <xdr:colOff>708212</xdr:colOff>
      <xdr:row>31</xdr:row>
      <xdr:rowOff>170329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DC7B6A2C-C04D-4CBB-91E9-D7A2395A78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779930</xdr:colOff>
      <xdr:row>16</xdr:row>
      <xdr:rowOff>134470</xdr:rowOff>
    </xdr:from>
    <xdr:to>
      <xdr:col>17</xdr:col>
      <xdr:colOff>618565</xdr:colOff>
      <xdr:row>32</xdr:row>
      <xdr:rowOff>8964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70DC1B7A-8994-46E1-AEB4-49E970EA18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4DF64-2676-4970-8942-A40883D0F6D1}">
  <dimension ref="A1:Q48"/>
  <sheetViews>
    <sheetView tabSelected="1" zoomScale="85" zoomScaleNormal="85" workbookViewId="0">
      <pane ySplit="1" topLeftCell="A27" activePane="bottomLeft" state="frozen"/>
      <selection pane="bottomLeft" activeCell="F49" sqref="F49"/>
    </sheetView>
  </sheetViews>
  <sheetFormatPr baseColWidth="10" defaultRowHeight="14.4" x14ac:dyDescent="0.3"/>
  <cols>
    <col min="1" max="1" width="8.77734375" style="35" bestFit="1" customWidth="1"/>
    <col min="2" max="2" width="9.44140625" style="35" bestFit="1" customWidth="1"/>
    <col min="3" max="5" width="11.5546875" style="35"/>
    <col min="6" max="6" width="14.33203125" style="35" customWidth="1"/>
    <col min="7" max="8" width="11.5546875" style="35"/>
    <col min="9" max="9" width="13" style="35" bestFit="1" customWidth="1"/>
    <col min="10" max="10" width="11.5546875" style="35"/>
    <col min="11" max="11" width="9" style="35" customWidth="1"/>
    <col min="12" max="13" width="11.5546875" style="35"/>
    <col min="14" max="14" width="14.44140625" style="35" bestFit="1" customWidth="1"/>
    <col min="15" max="15" width="11.88671875" style="35" customWidth="1"/>
    <col min="16" max="16" width="14.109375" style="35" bestFit="1" customWidth="1"/>
    <col min="17" max="17" width="32.44140625" style="35" bestFit="1" customWidth="1"/>
    <col min="18" max="16384" width="11.5546875" style="35"/>
  </cols>
  <sheetData>
    <row r="1" spans="1:17" s="24" customFormat="1" ht="29.4" thickBot="1" x14ac:dyDescent="0.35">
      <c r="A1" s="1" t="s">
        <v>0</v>
      </c>
      <c r="B1" s="3" t="s">
        <v>1</v>
      </c>
      <c r="C1" s="7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54</v>
      </c>
      <c r="L1" s="5" t="s">
        <v>55</v>
      </c>
      <c r="M1" s="5" t="s">
        <v>56</v>
      </c>
      <c r="N1" s="6" t="s">
        <v>57</v>
      </c>
      <c r="O1" s="6" t="s">
        <v>64</v>
      </c>
      <c r="P1" s="9" t="s">
        <v>52</v>
      </c>
      <c r="Q1" s="8" t="s">
        <v>58</v>
      </c>
    </row>
    <row r="2" spans="1:17" x14ac:dyDescent="0.3">
      <c r="A2" s="25">
        <v>10</v>
      </c>
      <c r="B2" s="26" t="s">
        <v>18</v>
      </c>
      <c r="C2" s="27">
        <v>32</v>
      </c>
      <c r="D2" s="28" t="s">
        <v>11</v>
      </c>
      <c r="E2" s="28">
        <v>-10</v>
      </c>
      <c r="F2" s="28" t="s">
        <v>12</v>
      </c>
      <c r="G2" s="28">
        <v>60</v>
      </c>
      <c r="H2" s="28">
        <v>960</v>
      </c>
      <c r="I2" s="28" t="s">
        <v>16</v>
      </c>
      <c r="J2" s="26" t="s">
        <v>53</v>
      </c>
      <c r="K2" s="29">
        <f>91532367.37/O2</f>
        <v>0.71365079101206219</v>
      </c>
      <c r="L2" s="30">
        <f>398866.147/O2</f>
        <v>3.1098413544122833E-3</v>
      </c>
      <c r="M2" s="30">
        <f>24359680.801/O2</f>
        <v>0.18992522505358853</v>
      </c>
      <c r="N2" s="31">
        <f>12068408.761/O2</f>
        <v>9.4093812997645312E-2</v>
      </c>
      <c r="O2" s="32">
        <f>12068408.761+24359680.801+91532367.37+298866.147</f>
        <v>128259323.07900001</v>
      </c>
      <c r="P2" s="33" t="s">
        <v>111</v>
      </c>
      <c r="Q2" s="34"/>
    </row>
    <row r="3" spans="1:17" x14ac:dyDescent="0.3">
      <c r="A3" s="36">
        <v>6</v>
      </c>
      <c r="B3" s="37" t="s">
        <v>17</v>
      </c>
      <c r="C3" s="38">
        <v>34</v>
      </c>
      <c r="D3" s="39" t="s">
        <v>11</v>
      </c>
      <c r="E3" s="39">
        <v>-10</v>
      </c>
      <c r="F3" s="39" t="s">
        <v>16</v>
      </c>
      <c r="G3" s="39">
        <v>0</v>
      </c>
      <c r="H3" s="39">
        <v>60</v>
      </c>
      <c r="I3" s="39" t="s">
        <v>16</v>
      </c>
      <c r="J3" s="37" t="s">
        <v>53</v>
      </c>
      <c r="K3" s="40">
        <f>46143970.835/O3</f>
        <v>0.29921535850359909</v>
      </c>
      <c r="L3" s="41">
        <f>1141252.578/O3</f>
        <v>7.4003232294524452E-3</v>
      </c>
      <c r="M3" s="41">
        <f>6632717.093/O3</f>
        <v>4.3009103614672577E-2</v>
      </c>
      <c r="N3" s="42">
        <f>100298644.718/O3</f>
        <v>0.65037521465227588</v>
      </c>
      <c r="O3" s="43">
        <f>100298644.718+46143970.835+1141252.578+6632717.093</f>
        <v>154216585.22400001</v>
      </c>
      <c r="P3" s="44" t="s">
        <v>108</v>
      </c>
      <c r="Q3" s="45"/>
    </row>
    <row r="4" spans="1:17" x14ac:dyDescent="0.3">
      <c r="A4" s="50">
        <v>29</v>
      </c>
      <c r="B4" s="51" t="s">
        <v>30</v>
      </c>
      <c r="C4" s="52">
        <v>33</v>
      </c>
      <c r="D4" s="53" t="s">
        <v>11</v>
      </c>
      <c r="E4" s="53">
        <v>-10</v>
      </c>
      <c r="F4" s="53" t="s">
        <v>16</v>
      </c>
      <c r="G4" s="53">
        <v>0</v>
      </c>
      <c r="H4" s="53">
        <v>960</v>
      </c>
      <c r="I4" s="53" t="s">
        <v>16</v>
      </c>
      <c r="J4" s="51" t="s">
        <v>26</v>
      </c>
      <c r="K4" s="40">
        <f>36877224.846/O4</f>
        <v>0.4304637667622272</v>
      </c>
      <c r="L4" s="41">
        <f>803024.716/O4</f>
        <v>9.3736186900197881E-3</v>
      </c>
      <c r="M4" s="41">
        <f>3690708.358/O4</f>
        <v>4.3081230446163556E-2</v>
      </c>
      <c r="N4" s="42">
        <f>44297634.174/O4</f>
        <v>0.51708138410158933</v>
      </c>
      <c r="O4" s="43">
        <f>44297634.174+3690708.358+803024.716+36877224.846</f>
        <v>85668592.094000012</v>
      </c>
      <c r="P4" s="44" t="s">
        <v>62</v>
      </c>
      <c r="Q4" s="45"/>
    </row>
    <row r="5" spans="1:17" x14ac:dyDescent="0.3">
      <c r="A5" s="46">
        <v>17</v>
      </c>
      <c r="B5" s="47" t="s">
        <v>22</v>
      </c>
      <c r="C5" s="48">
        <v>22</v>
      </c>
      <c r="D5" s="49" t="s">
        <v>11</v>
      </c>
      <c r="E5" s="49">
        <v>-10</v>
      </c>
      <c r="F5" s="49" t="s">
        <v>16</v>
      </c>
      <c r="G5" s="49">
        <v>60</v>
      </c>
      <c r="H5" s="49">
        <v>60</v>
      </c>
      <c r="I5" s="49" t="s">
        <v>16</v>
      </c>
      <c r="J5" s="47" t="s">
        <v>20</v>
      </c>
      <c r="K5" s="40">
        <f>57975621.164/O5</f>
        <v>0.40153144876962449</v>
      </c>
      <c r="L5" s="41">
        <f>1852416.758/O5</f>
        <v>1.2829592329176048E-2</v>
      </c>
      <c r="M5" s="41">
        <f>7577079.839/O5</f>
        <v>5.2477848173293672E-2</v>
      </c>
      <c r="N5" s="42">
        <f>76981134.777/O5</f>
        <v>0.53316111072790595</v>
      </c>
      <c r="O5" s="43">
        <f>76981134.777+57975621.164+1852416.758+7577079.839</f>
        <v>144386252.53799996</v>
      </c>
      <c r="P5" s="44" t="s">
        <v>108</v>
      </c>
      <c r="Q5" s="45"/>
    </row>
    <row r="6" spans="1:17" x14ac:dyDescent="0.3">
      <c r="A6" s="46">
        <v>18</v>
      </c>
      <c r="B6" s="47" t="s">
        <v>23</v>
      </c>
      <c r="C6" s="48">
        <v>23</v>
      </c>
      <c r="D6" s="49" t="s">
        <v>11</v>
      </c>
      <c r="E6" s="49">
        <v>-10</v>
      </c>
      <c r="F6" s="49" t="s">
        <v>12</v>
      </c>
      <c r="G6" s="49">
        <v>0</v>
      </c>
      <c r="H6" s="49">
        <v>960</v>
      </c>
      <c r="I6" s="49" t="s">
        <v>16</v>
      </c>
      <c r="J6" s="47" t="s">
        <v>20</v>
      </c>
      <c r="K6" s="40">
        <f>128177086.57/O6</f>
        <v>0.82374660036354264</v>
      </c>
      <c r="L6" s="41">
        <f>4077304.882/O6</f>
        <v>2.6203326390625541E-2</v>
      </c>
      <c r="M6" s="41">
        <f>19772840/O6</f>
        <v>0.12707270983755103</v>
      </c>
      <c r="N6" s="42">
        <f>3575336.699/O6</f>
        <v>2.2977363035536349E-2</v>
      </c>
      <c r="O6" s="43">
        <f>3575336.699+19772840.058+4077304.882+128177086.57</f>
        <v>155602568.20899999</v>
      </c>
      <c r="P6" s="44" t="s">
        <v>62</v>
      </c>
      <c r="Q6" s="45"/>
    </row>
    <row r="7" spans="1:17" x14ac:dyDescent="0.3">
      <c r="A7" s="36">
        <v>4</v>
      </c>
      <c r="B7" s="37" t="s">
        <v>15</v>
      </c>
      <c r="C7" s="38">
        <v>27</v>
      </c>
      <c r="D7" s="39" t="s">
        <v>11</v>
      </c>
      <c r="E7" s="39">
        <v>-10</v>
      </c>
      <c r="F7" s="39" t="s">
        <v>16</v>
      </c>
      <c r="G7" s="39">
        <v>60</v>
      </c>
      <c r="H7" s="39">
        <v>960</v>
      </c>
      <c r="I7" s="39" t="s">
        <v>13</v>
      </c>
      <c r="J7" s="37" t="s">
        <v>53</v>
      </c>
      <c r="K7" s="40">
        <f>10929948.778/O7</f>
        <v>0.41132431216841597</v>
      </c>
      <c r="L7" s="41">
        <f>1308055.305/O7</f>
        <v>4.9225752063023299E-2</v>
      </c>
      <c r="M7" s="41">
        <f>1355549.105/O7</f>
        <v>5.1013075591618919E-2</v>
      </c>
      <c r="N7" s="42">
        <f>12979028.239/O7</f>
        <v>0.48843686017694182</v>
      </c>
      <c r="O7" s="43">
        <f>12979028.239+1355549.105+1308055.305+10929948.778</f>
        <v>26572581.427000001</v>
      </c>
      <c r="P7" s="44" t="s">
        <v>108</v>
      </c>
      <c r="Q7" s="45"/>
    </row>
    <row r="8" spans="1:17" x14ac:dyDescent="0.3">
      <c r="A8" s="36">
        <v>2</v>
      </c>
      <c r="B8" s="37" t="s">
        <v>10</v>
      </c>
      <c r="C8" s="38">
        <v>31</v>
      </c>
      <c r="D8" s="39" t="s">
        <v>11</v>
      </c>
      <c r="E8" s="39">
        <v>-10</v>
      </c>
      <c r="F8" s="39" t="s">
        <v>12</v>
      </c>
      <c r="G8" s="39">
        <v>60</v>
      </c>
      <c r="H8" s="39">
        <v>60</v>
      </c>
      <c r="I8" s="39" t="s">
        <v>13</v>
      </c>
      <c r="J8" s="37" t="s">
        <v>53</v>
      </c>
      <c r="K8" s="40">
        <f>8436795.091/O8</f>
        <v>0.28257309066684033</v>
      </c>
      <c r="L8" s="41">
        <f>1770908.924/O8</f>
        <v>5.9312950302418184E-2</v>
      </c>
      <c r="M8" s="41">
        <f>1302997.687/O8</f>
        <v>4.3641226268503933E-2</v>
      </c>
      <c r="N8" s="42">
        <f>18346334.83/O8</f>
        <v>0.61447273276223757</v>
      </c>
      <c r="O8" s="43">
        <f>8436795.091+1770908.924+1302997.687+18346334.83</f>
        <v>29857036.531999998</v>
      </c>
      <c r="P8" s="44" t="s">
        <v>108</v>
      </c>
      <c r="Q8" s="45"/>
    </row>
    <row r="9" spans="1:17" x14ac:dyDescent="0.3">
      <c r="A9" s="36">
        <v>3</v>
      </c>
      <c r="B9" s="37" t="s">
        <v>14</v>
      </c>
      <c r="C9" s="38">
        <v>20</v>
      </c>
      <c r="D9" s="39" t="s">
        <v>11</v>
      </c>
      <c r="E9" s="39">
        <v>-10</v>
      </c>
      <c r="F9" s="39" t="s">
        <v>12</v>
      </c>
      <c r="G9" s="39">
        <v>0</v>
      </c>
      <c r="H9" s="39">
        <v>960</v>
      </c>
      <c r="I9" s="39" t="s">
        <v>13</v>
      </c>
      <c r="J9" s="37" t="s">
        <v>53</v>
      </c>
      <c r="K9" s="40">
        <f>19399753.017/O9</f>
        <v>0.73274354274030362</v>
      </c>
      <c r="L9" s="41">
        <f>3890814.046/O9</f>
        <v>0.14695902910266284</v>
      </c>
      <c r="M9" s="41">
        <f>3067868.095/O9</f>
        <v>0.11587572968688617</v>
      </c>
      <c r="N9" s="42">
        <f>117066.686/O9</f>
        <v>4.4216984701474201E-3</v>
      </c>
      <c r="O9" s="43">
        <f>117066.686+3067868.095+3890814.046+19399753.017</f>
        <v>26475501.844000001</v>
      </c>
      <c r="P9" s="44" t="s">
        <v>108</v>
      </c>
      <c r="Q9" s="45"/>
    </row>
    <row r="10" spans="1:17" x14ac:dyDescent="0.3">
      <c r="A10" s="50">
        <v>22</v>
      </c>
      <c r="B10" s="51" t="s">
        <v>25</v>
      </c>
      <c r="C10" s="52">
        <v>19</v>
      </c>
      <c r="D10" s="53" t="s">
        <v>11</v>
      </c>
      <c r="E10" s="53">
        <v>-10</v>
      </c>
      <c r="F10" s="53" t="s">
        <v>12</v>
      </c>
      <c r="G10" s="53">
        <v>0</v>
      </c>
      <c r="H10" s="53">
        <v>60</v>
      </c>
      <c r="I10" s="53" t="s">
        <v>13</v>
      </c>
      <c r="J10" s="51" t="s">
        <v>26</v>
      </c>
      <c r="K10" s="40">
        <f>3820891.171/O10</f>
        <v>0.30605051401638617</v>
      </c>
      <c r="L10" s="41">
        <f>4989869.933/O10</f>
        <v>0.39968483516631426</v>
      </c>
      <c r="M10" s="41">
        <f>541517.992/O10</f>
        <v>4.3375184579608449E-2</v>
      </c>
      <c r="N10" s="42">
        <f>3132232.434/O10</f>
        <v>0.25088946623769104</v>
      </c>
      <c r="O10" s="43">
        <f>3820891.171+4989869.933+541517.992+3132232.434</f>
        <v>12484511.530000001</v>
      </c>
      <c r="P10" s="44" t="s">
        <v>108</v>
      </c>
      <c r="Q10" s="45"/>
    </row>
    <row r="11" spans="1:17" x14ac:dyDescent="0.3">
      <c r="A11" s="46">
        <v>13</v>
      </c>
      <c r="B11" s="47" t="s">
        <v>21</v>
      </c>
      <c r="C11" s="48">
        <v>29</v>
      </c>
      <c r="D11" s="49" t="s">
        <v>11</v>
      </c>
      <c r="E11" s="49">
        <v>-10</v>
      </c>
      <c r="F11" s="49" t="s">
        <v>16</v>
      </c>
      <c r="G11" s="49">
        <v>0</v>
      </c>
      <c r="H11" s="49">
        <v>960</v>
      </c>
      <c r="I11" s="49" t="s">
        <v>13</v>
      </c>
      <c r="J11" s="47" t="s">
        <v>20</v>
      </c>
      <c r="K11" s="40">
        <f>11171015.335/O11</f>
        <v>0.36404685257881231</v>
      </c>
      <c r="L11" s="41">
        <f>18161655.305/O11</f>
        <v>0.59186146049691546</v>
      </c>
      <c r="M11" s="41">
        <f>1352982.199/O11</f>
        <v>4.4091686956860693E-2</v>
      </c>
      <c r="N11" s="42">
        <f>0/O11</f>
        <v>0</v>
      </c>
      <c r="O11" s="43">
        <f>11171015.335+18161655.304+1352982.199</f>
        <v>30685652.838000003</v>
      </c>
      <c r="P11" s="44" t="s">
        <v>59</v>
      </c>
      <c r="Q11" s="45"/>
    </row>
    <row r="12" spans="1:17" x14ac:dyDescent="0.3">
      <c r="A12" s="46">
        <v>12</v>
      </c>
      <c r="B12" s="47" t="s">
        <v>19</v>
      </c>
      <c r="C12" s="48">
        <v>12</v>
      </c>
      <c r="D12" s="49" t="s">
        <v>11</v>
      </c>
      <c r="E12" s="49">
        <v>-10</v>
      </c>
      <c r="F12" s="49" t="s">
        <v>12</v>
      </c>
      <c r="G12" s="49">
        <v>60</v>
      </c>
      <c r="H12" s="49">
        <v>60</v>
      </c>
      <c r="I12" s="49" t="s">
        <v>13</v>
      </c>
      <c r="J12" s="47" t="s">
        <v>20</v>
      </c>
      <c r="K12" s="40">
        <f>9538014.758/O12</f>
        <v>0.33377352855341486</v>
      </c>
      <c r="L12" s="41">
        <f>7855255.796/O12</f>
        <v>0.27488701907506358</v>
      </c>
      <c r="M12" s="41">
        <f>1247696.941/O12</f>
        <v>4.3661938163135725E-2</v>
      </c>
      <c r="N12" s="42">
        <f>9935339.318/O12</f>
        <v>0.34767751420838583</v>
      </c>
      <c r="O12" s="43">
        <f>9935339.318+1247696.941+7855255.796+9538014.758</f>
        <v>28576306.813000001</v>
      </c>
      <c r="P12" s="44" t="s">
        <v>108</v>
      </c>
      <c r="Q12" s="45"/>
    </row>
    <row r="13" spans="1:17" x14ac:dyDescent="0.3">
      <c r="A13" s="46">
        <v>19</v>
      </c>
      <c r="B13" s="47" t="s">
        <v>24</v>
      </c>
      <c r="C13" s="48">
        <v>15</v>
      </c>
      <c r="D13" s="49" t="s">
        <v>11</v>
      </c>
      <c r="E13" s="49">
        <v>-10</v>
      </c>
      <c r="F13" s="49" t="s">
        <v>16</v>
      </c>
      <c r="G13" s="49">
        <v>60</v>
      </c>
      <c r="H13" s="49">
        <v>960</v>
      </c>
      <c r="I13" s="49" t="s">
        <v>16</v>
      </c>
      <c r="J13" s="47" t="s">
        <v>20</v>
      </c>
      <c r="K13" s="40">
        <f>67239976.259/O13</f>
        <v>0.45896067481005731</v>
      </c>
      <c r="L13" s="41">
        <f>14658055.364/O13</f>
        <v>0.1000516561063502</v>
      </c>
      <c r="M13" s="41">
        <f>9777262.724/O13</f>
        <v>6.6736773973825242E-2</v>
      </c>
      <c r="N13" s="42">
        <f>54829580.579/O13</f>
        <v>0.37425089510976728</v>
      </c>
      <c r="O13" s="43">
        <f>54829580.579+9777262.724+14658055.364+67239976.259</f>
        <v>146504874.926</v>
      </c>
      <c r="P13" s="44" t="s">
        <v>108</v>
      </c>
      <c r="Q13" s="45"/>
    </row>
    <row r="14" spans="1:17" x14ac:dyDescent="0.3">
      <c r="A14" s="50">
        <v>23</v>
      </c>
      <c r="B14" s="51" t="s">
        <v>27</v>
      </c>
      <c r="C14" s="52">
        <v>11</v>
      </c>
      <c r="D14" s="53" t="s">
        <v>11</v>
      </c>
      <c r="E14" s="53">
        <v>-10</v>
      </c>
      <c r="F14" s="53" t="s">
        <v>16</v>
      </c>
      <c r="G14" s="53">
        <v>60</v>
      </c>
      <c r="H14" s="53">
        <v>60</v>
      </c>
      <c r="I14" s="53" t="s">
        <v>13</v>
      </c>
      <c r="J14" s="51" t="s">
        <v>26</v>
      </c>
      <c r="K14" s="40">
        <f>678344.341/O14</f>
        <v>5.972255299151058E-2</v>
      </c>
      <c r="L14" s="41">
        <f>183324.515/O14</f>
        <v>1.6140192229790382E-2</v>
      </c>
      <c r="M14" s="41">
        <f>58251.706/O14</f>
        <v>5.1285761348024497E-3</v>
      </c>
      <c r="N14" s="42">
        <f>10438340.38/O14</f>
        <v>0.91900867864389646</v>
      </c>
      <c r="O14" s="43">
        <f>10438340.38+58251.706+183324.515+678344.341</f>
        <v>11358260.942000002</v>
      </c>
      <c r="P14" s="44" t="s">
        <v>108</v>
      </c>
      <c r="Q14" s="45"/>
    </row>
    <row r="15" spans="1:17" x14ac:dyDescent="0.3">
      <c r="A15" s="50">
        <v>26</v>
      </c>
      <c r="B15" s="51" t="s">
        <v>28</v>
      </c>
      <c r="C15" s="52">
        <v>4</v>
      </c>
      <c r="D15" s="53" t="s">
        <v>11</v>
      </c>
      <c r="E15" s="53">
        <v>-10</v>
      </c>
      <c r="F15" s="53" t="s">
        <v>12</v>
      </c>
      <c r="G15" s="53">
        <v>60</v>
      </c>
      <c r="H15" s="53">
        <v>960</v>
      </c>
      <c r="I15" s="53" t="s">
        <v>13</v>
      </c>
      <c r="J15" s="51" t="s">
        <v>26</v>
      </c>
      <c r="K15" s="40">
        <f>7422074.642/O15</f>
        <v>0.66480795546694538</v>
      </c>
      <c r="L15" s="41">
        <f>160852.749/O15</f>
        <v>1.4407856610441206E-2</v>
      </c>
      <c r="M15" s="41">
        <f>555772.378/O15</f>
        <v>4.9781485116352775E-2</v>
      </c>
      <c r="N15" s="42">
        <f>3025808.837/O15</f>
        <v>0.27102688716934437</v>
      </c>
      <c r="O15" s="43">
        <f>3025808.837+555772.378+160582.749+7422074.642</f>
        <v>11164238.605999999</v>
      </c>
      <c r="P15" s="44" t="s">
        <v>108</v>
      </c>
      <c r="Q15" s="45"/>
    </row>
    <row r="16" spans="1:17" x14ac:dyDescent="0.3">
      <c r="A16" s="50">
        <v>28</v>
      </c>
      <c r="B16" s="51" t="s">
        <v>29</v>
      </c>
      <c r="C16" s="52">
        <v>18</v>
      </c>
      <c r="D16" s="53" t="s">
        <v>11</v>
      </c>
      <c r="E16" s="53">
        <v>-10</v>
      </c>
      <c r="F16" s="53" t="s">
        <v>12</v>
      </c>
      <c r="G16" s="53">
        <v>60</v>
      </c>
      <c r="H16" s="53">
        <v>60</v>
      </c>
      <c r="I16" s="53" t="s">
        <v>16</v>
      </c>
      <c r="J16" s="51" t="s">
        <v>26</v>
      </c>
      <c r="K16" s="91"/>
      <c r="L16" s="92"/>
      <c r="M16" s="92"/>
      <c r="N16" s="93"/>
      <c r="O16" s="94"/>
      <c r="P16" s="95"/>
      <c r="Q16" s="96"/>
    </row>
    <row r="17" spans="1:17" x14ac:dyDescent="0.3">
      <c r="A17" s="73">
        <v>24</v>
      </c>
      <c r="B17" s="74" t="s">
        <v>47</v>
      </c>
      <c r="C17" s="75">
        <v>6</v>
      </c>
      <c r="D17" s="76" t="s">
        <v>11</v>
      </c>
      <c r="E17" s="76">
        <v>25</v>
      </c>
      <c r="F17" s="76" t="s">
        <v>12</v>
      </c>
      <c r="G17" s="76">
        <v>60</v>
      </c>
      <c r="H17" s="76">
        <v>60</v>
      </c>
      <c r="I17" s="76" t="s">
        <v>13</v>
      </c>
      <c r="J17" s="74" t="s">
        <v>26</v>
      </c>
      <c r="K17" s="40">
        <f>10407.893/O17</f>
        <v>0.66437484352751941</v>
      </c>
      <c r="L17" s="41">
        <f>191.56/O17</f>
        <v>1.2227993218813033E-2</v>
      </c>
      <c r="M17" s="41">
        <f>1077.806/O17</f>
        <v>6.8800399139674256E-2</v>
      </c>
      <c r="N17" s="42">
        <f>3988.435/O17</f>
        <v>0.25459676411399329</v>
      </c>
      <c r="O17" s="43">
        <f>10407.893+3988.435+191.56+1077.806</f>
        <v>15665.694</v>
      </c>
      <c r="P17" s="44" t="s">
        <v>62</v>
      </c>
      <c r="Q17" s="45"/>
    </row>
    <row r="18" spans="1:17" x14ac:dyDescent="0.3">
      <c r="A18" s="73">
        <v>27</v>
      </c>
      <c r="B18" s="74" t="s">
        <v>49</v>
      </c>
      <c r="C18" s="75">
        <v>28</v>
      </c>
      <c r="D18" s="76" t="s">
        <v>11</v>
      </c>
      <c r="E18" s="76">
        <v>25</v>
      </c>
      <c r="F18" s="76" t="s">
        <v>16</v>
      </c>
      <c r="G18" s="76">
        <v>0</v>
      </c>
      <c r="H18" s="76">
        <v>60</v>
      </c>
      <c r="I18" s="76" t="s">
        <v>16</v>
      </c>
      <c r="J18" s="74" t="s">
        <v>26</v>
      </c>
      <c r="K18" s="40">
        <f>29768.949/O18</f>
        <v>0.36630607152523142</v>
      </c>
      <c r="L18" s="41">
        <f>1084.653/O18</f>
        <v>1.3346624343306739E-2</v>
      </c>
      <c r="M18" s="41">
        <f>3094.363/O18</f>
        <v>3.8076048785028641E-2</v>
      </c>
      <c r="N18" s="42">
        <f>46834.486/O18</f>
        <v>0.57629701937288569</v>
      </c>
      <c r="O18" s="43">
        <f>29768.949+1084.653+3094.363+46834+486</f>
        <v>81267.964999999997</v>
      </c>
      <c r="P18" s="44" t="s">
        <v>65</v>
      </c>
      <c r="Q18" s="45"/>
    </row>
    <row r="19" spans="1:17" x14ac:dyDescent="0.3">
      <c r="A19" s="73">
        <v>31</v>
      </c>
      <c r="B19" s="74" t="s">
        <v>51</v>
      </c>
      <c r="C19" s="75">
        <v>13</v>
      </c>
      <c r="D19" s="76" t="s">
        <v>11</v>
      </c>
      <c r="E19" s="76">
        <v>25</v>
      </c>
      <c r="F19" s="76" t="s">
        <v>16</v>
      </c>
      <c r="G19" s="76">
        <v>60</v>
      </c>
      <c r="H19" s="76">
        <v>960</v>
      </c>
      <c r="I19" s="76" t="s">
        <v>16</v>
      </c>
      <c r="J19" s="74" t="s">
        <v>26</v>
      </c>
      <c r="K19" s="40">
        <f>25599934.943/O19</f>
        <v>0.37348986712478155</v>
      </c>
      <c r="L19" s="41">
        <f>937231.837/O19</f>
        <v>1.3673729837425272E-2</v>
      </c>
      <c r="M19" s="41">
        <f>2634423.025/O19</f>
        <v>3.8434875234976296E-2</v>
      </c>
      <c r="N19" s="42">
        <f>39370925.525/O19</f>
        <v>0.57440152780281695</v>
      </c>
      <c r="O19" s="43">
        <f>25599934.943+937231.837+2634423.025+39370925.525</f>
        <v>68542515.329999998</v>
      </c>
      <c r="P19" s="44" t="s">
        <v>62</v>
      </c>
      <c r="Q19" s="45"/>
    </row>
    <row r="20" spans="1:17" x14ac:dyDescent="0.3">
      <c r="A20" s="65">
        <v>16</v>
      </c>
      <c r="B20" s="66" t="s">
        <v>45</v>
      </c>
      <c r="C20" s="67">
        <v>8</v>
      </c>
      <c r="D20" s="68" t="s">
        <v>11</v>
      </c>
      <c r="E20" s="68">
        <v>25</v>
      </c>
      <c r="F20" s="68" t="s">
        <v>16</v>
      </c>
      <c r="G20" s="68">
        <v>0</v>
      </c>
      <c r="H20" s="68">
        <v>60</v>
      </c>
      <c r="I20" s="68" t="s">
        <v>16</v>
      </c>
      <c r="J20" s="66" t="s">
        <v>20</v>
      </c>
      <c r="K20" s="40">
        <f>24811.101/O20</f>
        <v>0.36070318560632242</v>
      </c>
      <c r="L20" s="41">
        <f>988.738/O20</f>
        <v>1.437424910446433E-2</v>
      </c>
      <c r="M20" s="41">
        <f>2956.025/O20</f>
        <v>4.2974619878091237E-2</v>
      </c>
      <c r="N20" s="42">
        <f>40029.503/O20</f>
        <v>0.58194794541112216</v>
      </c>
      <c r="O20" s="43">
        <f>40029.503+24811.101+988.738+2956.025</f>
        <v>68785.366999999984</v>
      </c>
      <c r="P20" s="44" t="s">
        <v>59</v>
      </c>
      <c r="Q20" s="45" t="s">
        <v>63</v>
      </c>
    </row>
    <row r="21" spans="1:17" x14ac:dyDescent="0.3">
      <c r="A21" s="58">
        <v>8</v>
      </c>
      <c r="B21" s="59" t="s">
        <v>40</v>
      </c>
      <c r="C21" s="60">
        <v>25</v>
      </c>
      <c r="D21" s="61" t="s">
        <v>11</v>
      </c>
      <c r="E21" s="61">
        <v>25</v>
      </c>
      <c r="F21" s="61" t="s">
        <v>16</v>
      </c>
      <c r="G21" s="61">
        <v>60</v>
      </c>
      <c r="H21" s="61">
        <v>60</v>
      </c>
      <c r="I21" s="61" t="s">
        <v>16</v>
      </c>
      <c r="J21" s="59" t="s">
        <v>53</v>
      </c>
      <c r="K21" s="40">
        <f>42929.147/O21</f>
        <v>0.41086805204657939</v>
      </c>
      <c r="L21" s="41">
        <f>1563.87/O21</f>
        <v>1.4967551546134474E-2</v>
      </c>
      <c r="M21" s="41">
        <f>6092.861/O21</f>
        <v>5.8313805547093069E-2</v>
      </c>
      <c r="N21" s="42">
        <f>53898.118/O21</f>
        <v>0.51585033244747858</v>
      </c>
      <c r="O21" s="43">
        <f>53898.118+42929.174+1563.87+6092.861</f>
        <v>104484.023</v>
      </c>
      <c r="P21" s="44" t="s">
        <v>62</v>
      </c>
      <c r="Q21" s="45"/>
    </row>
    <row r="22" spans="1:17" x14ac:dyDescent="0.3">
      <c r="A22" s="58">
        <v>7</v>
      </c>
      <c r="B22" s="59" t="s">
        <v>39</v>
      </c>
      <c r="C22" s="60">
        <v>2</v>
      </c>
      <c r="D22" s="61" t="s">
        <v>11</v>
      </c>
      <c r="E22" s="61">
        <v>25</v>
      </c>
      <c r="F22" s="61" t="s">
        <v>12</v>
      </c>
      <c r="G22" s="61">
        <v>0</v>
      </c>
      <c r="H22" s="61">
        <v>60</v>
      </c>
      <c r="I22" s="61" t="s">
        <v>16</v>
      </c>
      <c r="J22" s="59" t="s">
        <v>53</v>
      </c>
      <c r="K22" s="40">
        <f>54250.152/O22</f>
        <v>0.82349974174816865</v>
      </c>
      <c r="L22" s="41">
        <f>2137.204/O22</f>
        <v>3.2442064716485086E-2</v>
      </c>
      <c r="M22" s="41">
        <f>9490.202/O22</f>
        <v>0.14405819353534627</v>
      </c>
      <c r="N22" s="42">
        <f>0/O22</f>
        <v>0</v>
      </c>
      <c r="O22" s="43">
        <f>54250.152+2137.204+9490.202</f>
        <v>65877.558000000005</v>
      </c>
      <c r="P22" s="44" t="s">
        <v>60</v>
      </c>
      <c r="Q22" s="45" t="s">
        <v>61</v>
      </c>
    </row>
    <row r="23" spans="1:17" x14ac:dyDescent="0.3">
      <c r="A23" s="58">
        <v>9</v>
      </c>
      <c r="B23" s="59" t="s">
        <v>41</v>
      </c>
      <c r="C23" s="60">
        <v>3</v>
      </c>
      <c r="D23" s="61" t="s">
        <v>11</v>
      </c>
      <c r="E23" s="61">
        <v>25</v>
      </c>
      <c r="F23" s="61" t="s">
        <v>16</v>
      </c>
      <c r="G23" s="61">
        <v>0</v>
      </c>
      <c r="H23" s="61">
        <v>960</v>
      </c>
      <c r="I23" s="61" t="s">
        <v>16</v>
      </c>
      <c r="J23" s="59" t="s">
        <v>53</v>
      </c>
      <c r="K23" s="40">
        <f>50028.47/O23</f>
        <v>0.46142701725173707</v>
      </c>
      <c r="L23" s="41">
        <f>5417.114/O23</f>
        <v>4.9963605825495486E-2</v>
      </c>
      <c r="M23" s="41">
        <f>5740.652/O23</f>
        <v>5.2947690174019291E-2</v>
      </c>
      <c r="N23" s="42">
        <f>47234.962/O23</f>
        <v>0.43566168674874811</v>
      </c>
      <c r="O23" s="43">
        <f>50028.47+5417.114+5740.652+47234.962</f>
        <v>108421.198</v>
      </c>
      <c r="P23" s="44" t="s">
        <v>62</v>
      </c>
      <c r="Q23" s="45"/>
    </row>
    <row r="24" spans="1:17" ht="28.8" x14ac:dyDescent="0.3">
      <c r="A24" s="65">
        <v>20</v>
      </c>
      <c r="B24" s="66" t="s">
        <v>46</v>
      </c>
      <c r="C24" s="67">
        <v>5</v>
      </c>
      <c r="D24" s="68" t="s">
        <v>11</v>
      </c>
      <c r="E24" s="68">
        <v>25</v>
      </c>
      <c r="F24" s="68" t="s">
        <v>12</v>
      </c>
      <c r="G24" s="68">
        <v>60</v>
      </c>
      <c r="H24" s="68">
        <v>960</v>
      </c>
      <c r="I24" s="68" t="s">
        <v>16</v>
      </c>
      <c r="J24" s="66" t="s">
        <v>20</v>
      </c>
      <c r="K24" s="40">
        <f>124807802.523/O24</f>
        <v>0.82592084661546494</v>
      </c>
      <c r="L24" s="41">
        <f>8616201.274/O24</f>
        <v>5.7018071843063754E-2</v>
      </c>
      <c r="M24" s="41">
        <f>17689511.541/O24</f>
        <v>0.11706108154147137</v>
      </c>
      <c r="N24" s="42">
        <v>0</v>
      </c>
      <c r="O24" s="43">
        <f>124807802.523+8616201.274+17689511.541</f>
        <v>151113515.338</v>
      </c>
      <c r="P24" s="44" t="s">
        <v>105</v>
      </c>
      <c r="Q24" s="72" t="s">
        <v>106</v>
      </c>
    </row>
    <row r="25" spans="1:17" x14ac:dyDescent="0.3">
      <c r="A25" s="73">
        <v>30</v>
      </c>
      <c r="B25" s="74" t="s">
        <v>50</v>
      </c>
      <c r="C25" s="75">
        <v>17</v>
      </c>
      <c r="D25" s="76" t="s">
        <v>11</v>
      </c>
      <c r="E25" s="76">
        <v>25</v>
      </c>
      <c r="F25" s="76" t="s">
        <v>12</v>
      </c>
      <c r="G25" s="76">
        <v>0</v>
      </c>
      <c r="H25" s="76">
        <v>960</v>
      </c>
      <c r="I25" s="76" t="s">
        <v>16</v>
      </c>
      <c r="J25" s="74" t="s">
        <v>26</v>
      </c>
      <c r="K25" s="40">
        <f>64519406.29/O25</f>
        <v>0.7955363252959291</v>
      </c>
      <c r="L25" s="41">
        <f>4793517.497/O25</f>
        <v>5.9104965685280494E-2</v>
      </c>
      <c r="M25" s="41">
        <f>8193598.144/O25</f>
        <v>0.10102859485611218</v>
      </c>
      <c r="N25" s="42">
        <f>3595250.846/O25</f>
        <v>4.4330114162678236E-2</v>
      </c>
      <c r="O25" s="43">
        <f>64519406.29+4793517.497+8193598.144+3595250.846</f>
        <v>81101772.776999995</v>
      </c>
      <c r="P25" s="44" t="s">
        <v>107</v>
      </c>
      <c r="Q25" s="45"/>
    </row>
    <row r="26" spans="1:17" x14ac:dyDescent="0.3">
      <c r="A26" s="65">
        <v>14</v>
      </c>
      <c r="B26" s="66" t="s">
        <v>43</v>
      </c>
      <c r="C26" s="67">
        <v>24</v>
      </c>
      <c r="D26" s="68" t="s">
        <v>11</v>
      </c>
      <c r="E26" s="68">
        <v>25</v>
      </c>
      <c r="F26" s="68" t="s">
        <v>12</v>
      </c>
      <c r="G26" s="68">
        <v>0</v>
      </c>
      <c r="H26" s="68">
        <v>960</v>
      </c>
      <c r="I26" s="68" t="s">
        <v>13</v>
      </c>
      <c r="J26" s="66" t="s">
        <v>20</v>
      </c>
      <c r="K26" s="69">
        <f>22563102.859/O26</f>
        <v>0.82353942998127017</v>
      </c>
      <c r="L26" s="41">
        <f>1699304.308/O26</f>
        <v>6.2023566081330188E-2</v>
      </c>
      <c r="M26" s="41">
        <f>3135313.012/O26</f>
        <v>0.11443700393739978</v>
      </c>
      <c r="N26" s="70">
        <v>0</v>
      </c>
      <c r="O26" s="43">
        <f>22563102.859+1699304.308+3135313.012</f>
        <v>27397720.178999998</v>
      </c>
      <c r="P26" s="44" t="s">
        <v>62</v>
      </c>
      <c r="Q26" s="45" t="s">
        <v>63</v>
      </c>
    </row>
    <row r="27" spans="1:17" x14ac:dyDescent="0.3">
      <c r="A27" s="73">
        <v>25</v>
      </c>
      <c r="B27" s="74" t="s">
        <v>48</v>
      </c>
      <c r="C27" s="75">
        <v>14</v>
      </c>
      <c r="D27" s="76" t="s">
        <v>11</v>
      </c>
      <c r="E27" s="76">
        <v>25</v>
      </c>
      <c r="F27" s="76" t="s">
        <v>16</v>
      </c>
      <c r="G27" s="76">
        <v>0</v>
      </c>
      <c r="H27" s="76">
        <v>960</v>
      </c>
      <c r="I27" s="76" t="s">
        <v>13</v>
      </c>
      <c r="J27" s="74" t="s">
        <v>26</v>
      </c>
      <c r="K27" s="69">
        <f>5478974.457/O27</f>
        <v>0.40409315970730264</v>
      </c>
      <c r="L27" s="41">
        <f>1081743.423/O27</f>
        <v>7.9782287948830855E-2</v>
      </c>
      <c r="M27" s="41">
        <f>506811.185/O27</f>
        <v>3.7379063313573005E-2</v>
      </c>
      <c r="N27" s="71">
        <f>6491161.354/O27</f>
        <v>0.47874541527686348</v>
      </c>
      <c r="O27" s="43">
        <f>5478974.457+1081744.423+506811.185+6491161.354</f>
        <v>13558691.419</v>
      </c>
      <c r="P27" s="44" t="s">
        <v>104</v>
      </c>
      <c r="Q27" s="45"/>
    </row>
    <row r="28" spans="1:17" x14ac:dyDescent="0.3">
      <c r="A28" s="65">
        <v>11</v>
      </c>
      <c r="B28" s="66" t="s">
        <v>42</v>
      </c>
      <c r="C28" s="67">
        <v>30</v>
      </c>
      <c r="D28" s="68" t="s">
        <v>11</v>
      </c>
      <c r="E28" s="68">
        <v>25</v>
      </c>
      <c r="F28" s="68" t="s">
        <v>12</v>
      </c>
      <c r="G28" s="68">
        <v>0</v>
      </c>
      <c r="H28" s="68">
        <v>60</v>
      </c>
      <c r="I28" s="68" t="s">
        <v>13</v>
      </c>
      <c r="J28" s="66" t="s">
        <v>20</v>
      </c>
      <c r="K28" s="40">
        <f>8810.185/O28</f>
        <v>0.72768681149450098</v>
      </c>
      <c r="L28" s="41">
        <f>2051.9/O28</f>
        <v>0.16947891202120802</v>
      </c>
      <c r="M28" s="41">
        <f>1245.026/O28</f>
        <v>0.10283427648429093</v>
      </c>
      <c r="N28" s="42">
        <f>0/O28</f>
        <v>0</v>
      </c>
      <c r="O28" s="43">
        <f>2051.9+1245.026+8810.185</f>
        <v>12107.111000000001</v>
      </c>
      <c r="P28" s="44" t="s">
        <v>62</v>
      </c>
      <c r="Q28" s="45" t="s">
        <v>63</v>
      </c>
    </row>
    <row r="29" spans="1:17" x14ac:dyDescent="0.3">
      <c r="A29" s="86">
        <v>5</v>
      </c>
      <c r="B29" s="59" t="s">
        <v>38</v>
      </c>
      <c r="C29" s="60">
        <v>21</v>
      </c>
      <c r="D29" s="61" t="s">
        <v>11</v>
      </c>
      <c r="E29" s="61">
        <v>25</v>
      </c>
      <c r="F29" s="61" t="s">
        <v>12</v>
      </c>
      <c r="G29" s="61">
        <v>60</v>
      </c>
      <c r="H29" s="61">
        <v>960</v>
      </c>
      <c r="I29" s="61" t="s">
        <v>13</v>
      </c>
      <c r="J29" s="59" t="s">
        <v>53</v>
      </c>
      <c r="K29" s="40">
        <f>13379.728/O29</f>
        <v>0.71854707043531685</v>
      </c>
      <c r="L29" s="62">
        <f>4778.378/O29</f>
        <v>0.25661878278336958</v>
      </c>
      <c r="M29" s="41">
        <f>462.425/O29</f>
        <v>2.4834146781313595E-2</v>
      </c>
      <c r="N29" s="42">
        <v>0</v>
      </c>
      <c r="O29" s="43">
        <f>13379.728+4778.378+462.425</f>
        <v>18620.530999999999</v>
      </c>
      <c r="P29" s="44" t="s">
        <v>105</v>
      </c>
      <c r="Q29" s="45"/>
    </row>
    <row r="30" spans="1:17" x14ac:dyDescent="0.3">
      <c r="A30" s="86">
        <v>1</v>
      </c>
      <c r="B30" s="59" t="s">
        <v>37</v>
      </c>
      <c r="C30" s="60">
        <v>7</v>
      </c>
      <c r="D30" s="61" t="s">
        <v>11</v>
      </c>
      <c r="E30" s="61">
        <v>25</v>
      </c>
      <c r="F30" s="61" t="s">
        <v>16</v>
      </c>
      <c r="G30" s="61">
        <v>0</v>
      </c>
      <c r="H30" s="61">
        <v>60</v>
      </c>
      <c r="I30" s="61" t="s">
        <v>13</v>
      </c>
      <c r="J30" s="59" t="s">
        <v>53</v>
      </c>
      <c r="K30" s="40">
        <f>7093.642/O30</f>
        <v>0.30646563223175399</v>
      </c>
      <c r="L30" s="62">
        <f>7563.264/O30</f>
        <v>0.3267546464137413</v>
      </c>
      <c r="M30" s="41">
        <f>1006.654/O30</f>
        <v>4.3490333251751931E-2</v>
      </c>
      <c r="N30" s="63">
        <f>7483.189/O30</f>
        <v>0.32329517728618207</v>
      </c>
      <c r="O30" s="64">
        <f>7093.642+7483.169+7563.24+1006.564</f>
        <v>23146.614999999998</v>
      </c>
      <c r="P30" s="44" t="s">
        <v>59</v>
      </c>
      <c r="Q30" s="45"/>
    </row>
    <row r="31" spans="1:17" x14ac:dyDescent="0.3">
      <c r="A31" s="65">
        <v>15</v>
      </c>
      <c r="B31" s="66" t="s">
        <v>44</v>
      </c>
      <c r="C31" s="67">
        <v>16</v>
      </c>
      <c r="D31" s="68" t="s">
        <v>11</v>
      </c>
      <c r="E31" s="68">
        <v>25</v>
      </c>
      <c r="F31" s="68" t="s">
        <v>16</v>
      </c>
      <c r="G31" s="68">
        <v>60</v>
      </c>
      <c r="H31" s="68">
        <v>960</v>
      </c>
      <c r="I31" s="68" t="s">
        <v>13</v>
      </c>
      <c r="J31" s="66" t="s">
        <v>20</v>
      </c>
      <c r="K31" s="40">
        <f>12155081.998/O31</f>
        <v>0.40299898577238175</v>
      </c>
      <c r="L31" s="41">
        <f>14211776.678/O31</f>
        <v>0.47118823124352144</v>
      </c>
      <c r="M31" s="41">
        <f>1654273.626/O31</f>
        <v>5.4847066731240027E-2</v>
      </c>
      <c r="N31" s="42">
        <f>2140437.397/O31</f>
        <v>7.0965716252856886E-2</v>
      </c>
      <c r="O31" s="43">
        <f>12155081.998+2140437.397+14211776.678+1654273.626</f>
        <v>30161569.698999997</v>
      </c>
      <c r="P31" s="44" t="s">
        <v>104</v>
      </c>
      <c r="Q31" s="45" t="s">
        <v>63</v>
      </c>
    </row>
    <row r="32" spans="1:17" x14ac:dyDescent="0.3">
      <c r="A32" s="54">
        <v>34</v>
      </c>
      <c r="B32" s="55" t="s">
        <v>36</v>
      </c>
      <c r="C32" s="56">
        <v>10</v>
      </c>
      <c r="D32" s="57" t="s">
        <v>11</v>
      </c>
      <c r="E32" s="57" t="s">
        <v>32</v>
      </c>
      <c r="F32" s="57">
        <v>1</v>
      </c>
      <c r="G32" s="57">
        <v>30</v>
      </c>
      <c r="H32" s="57">
        <v>510</v>
      </c>
      <c r="I32" s="57" t="s">
        <v>33</v>
      </c>
      <c r="J32" s="55" t="s">
        <v>26</v>
      </c>
      <c r="K32" s="40">
        <f>23857.982/O32</f>
        <v>0.72043022441699245</v>
      </c>
      <c r="L32" s="41">
        <f>377.004/O32</f>
        <v>1.1384243492433846E-2</v>
      </c>
      <c r="M32" s="41">
        <f>2515.283/O32</f>
        <v>7.5953024701009744E-2</v>
      </c>
      <c r="N32" s="42">
        <f>6366.029/O32</f>
        <v>0.19223250738956391</v>
      </c>
      <c r="O32" s="43">
        <f>23857.982+377.004+2515.283+6366.029</f>
        <v>33116.298000000003</v>
      </c>
      <c r="P32" s="44" t="s">
        <v>62</v>
      </c>
      <c r="Q32" s="45"/>
    </row>
    <row r="33" spans="1:17" x14ac:dyDescent="0.3">
      <c r="A33" s="54">
        <v>33</v>
      </c>
      <c r="B33" s="55" t="s">
        <v>35</v>
      </c>
      <c r="C33" s="56">
        <v>26</v>
      </c>
      <c r="D33" s="57" t="s">
        <v>11</v>
      </c>
      <c r="E33" s="57" t="s">
        <v>32</v>
      </c>
      <c r="F33" s="57">
        <v>1</v>
      </c>
      <c r="G33" s="57">
        <v>30</v>
      </c>
      <c r="H33" s="57">
        <v>510</v>
      </c>
      <c r="I33" s="57" t="s">
        <v>33</v>
      </c>
      <c r="J33" s="55" t="s">
        <v>26</v>
      </c>
      <c r="K33" s="83">
        <f>23860.293/O33</f>
        <v>0.72353967394354879</v>
      </c>
      <c r="L33" s="84">
        <f>396.932/O33</f>
        <v>1.2036568446907198E-2</v>
      </c>
      <c r="M33" s="84">
        <f>2536.458/O33</f>
        <v>7.6915568232607437E-2</v>
      </c>
      <c r="N33" s="85">
        <f>6183.491/O33</f>
        <v>0.18750821970094281</v>
      </c>
      <c r="O33" s="43">
        <f>23860.293+396.93+2536.46+6183.49</f>
        <v>32977.173000000003</v>
      </c>
      <c r="P33" s="44" t="s">
        <v>62</v>
      </c>
      <c r="Q33" s="45"/>
    </row>
    <row r="34" spans="1:17" x14ac:dyDescent="0.3">
      <c r="A34" s="54">
        <v>32</v>
      </c>
      <c r="B34" s="55" t="s">
        <v>34</v>
      </c>
      <c r="C34" s="56">
        <v>1</v>
      </c>
      <c r="D34" s="57" t="s">
        <v>11</v>
      </c>
      <c r="E34" s="57" t="s">
        <v>32</v>
      </c>
      <c r="F34" s="57">
        <v>1</v>
      </c>
      <c r="G34" s="57">
        <v>30</v>
      </c>
      <c r="H34" s="57">
        <v>510</v>
      </c>
      <c r="I34" s="57" t="s">
        <v>33</v>
      </c>
      <c r="J34" s="55" t="s">
        <v>26</v>
      </c>
      <c r="K34" s="40">
        <f>24559.843/O34</f>
        <v>0.72448181593589944</v>
      </c>
      <c r="L34" s="41">
        <f>477.803/O34</f>
        <v>1.4094535746813226E-2</v>
      </c>
      <c r="M34" s="41">
        <f>2623.319/O34</f>
        <v>7.7384326638372553E-2</v>
      </c>
      <c r="N34" s="42">
        <f>6239.405/O34</f>
        <v>0.18405392350266778</v>
      </c>
      <c r="O34" s="43">
        <f>6239.405+2623.319+477.308+24559.843</f>
        <v>33899.875</v>
      </c>
      <c r="P34" s="44" t="s">
        <v>62</v>
      </c>
      <c r="Q34" s="45"/>
    </row>
    <row r="35" spans="1:17" ht="15" thickBot="1" x14ac:dyDescent="0.35">
      <c r="A35" s="87">
        <v>21</v>
      </c>
      <c r="B35" s="88" t="s">
        <v>31</v>
      </c>
      <c r="C35" s="89">
        <v>9</v>
      </c>
      <c r="D35" s="90" t="s">
        <v>11</v>
      </c>
      <c r="E35" s="90" t="s">
        <v>32</v>
      </c>
      <c r="F35" s="90">
        <v>1</v>
      </c>
      <c r="G35" s="90">
        <v>30</v>
      </c>
      <c r="H35" s="90">
        <v>510</v>
      </c>
      <c r="I35" s="90" t="s">
        <v>33</v>
      </c>
      <c r="J35" s="88" t="s">
        <v>20</v>
      </c>
      <c r="K35" s="77">
        <f>22726.214/O35</f>
        <v>0.6493599552978484</v>
      </c>
      <c r="L35" s="78">
        <f>2412.093/O35</f>
        <v>6.8921141139225955E-2</v>
      </c>
      <c r="M35" s="78">
        <f>3203.984/O35</f>
        <v>9.1547976579601925E-2</v>
      </c>
      <c r="N35" s="79">
        <f>6655.577/O35</f>
        <v>0.19017092698332366</v>
      </c>
      <c r="O35" s="80">
        <f>22726.214+2412.093+3203.984+6655.577</f>
        <v>34997.868000000002</v>
      </c>
      <c r="P35" s="81" t="s">
        <v>62</v>
      </c>
      <c r="Q35" s="82"/>
    </row>
    <row r="37" spans="1:17" x14ac:dyDescent="0.3">
      <c r="A37" s="105" t="s">
        <v>131</v>
      </c>
      <c r="B37" s="66" t="s">
        <v>132</v>
      </c>
      <c r="C37" s="98" t="s">
        <v>122</v>
      </c>
      <c r="D37" s="68" t="s">
        <v>11</v>
      </c>
      <c r="E37" s="100" t="s">
        <v>123</v>
      </c>
      <c r="F37" s="68" t="s">
        <v>124</v>
      </c>
      <c r="G37" s="68">
        <v>12</v>
      </c>
      <c r="H37" s="68">
        <v>870</v>
      </c>
      <c r="I37" s="68" t="s">
        <v>125</v>
      </c>
      <c r="J37" s="66" t="s">
        <v>20</v>
      </c>
      <c r="K37" s="40">
        <f>81863616.41/O37</f>
        <v>0.84316861852034386</v>
      </c>
      <c r="L37" s="41">
        <f>1601863.54/O37</f>
        <v>1.64986733705417E-2</v>
      </c>
      <c r="M37" s="41">
        <f>11496793.508/O37</f>
        <v>0.11841323318780093</v>
      </c>
      <c r="N37" s="42">
        <f>2128171.573/O37</f>
        <v>2.1919474900714039E-2</v>
      </c>
      <c r="O37" s="43">
        <f>81863616.41+1601863.54+11496793.508+2128171.575</f>
        <v>97090445.033000007</v>
      </c>
      <c r="P37" s="44"/>
      <c r="Q37" s="45"/>
    </row>
    <row r="38" spans="1:17" x14ac:dyDescent="0.3">
      <c r="A38" s="106"/>
      <c r="B38" s="55" t="s">
        <v>133</v>
      </c>
      <c r="C38" s="99" t="s">
        <v>122</v>
      </c>
      <c r="D38" s="57" t="s">
        <v>11</v>
      </c>
      <c r="E38" s="101" t="s">
        <v>123</v>
      </c>
      <c r="F38" s="57" t="s">
        <v>124</v>
      </c>
      <c r="G38" s="57">
        <v>12</v>
      </c>
      <c r="H38" s="57">
        <v>870</v>
      </c>
      <c r="I38" s="57" t="s">
        <v>125</v>
      </c>
      <c r="J38" s="55" t="s">
        <v>126</v>
      </c>
      <c r="K38" s="40">
        <f>21242311.973/O38</f>
        <v>0.62363384750213346</v>
      </c>
      <c r="L38" s="41">
        <f>0/O38</f>
        <v>0</v>
      </c>
      <c r="M38" s="41">
        <f>2649766.641/O38</f>
        <v>7.7792105087714614E-2</v>
      </c>
      <c r="N38" s="42">
        <f>10170075.097/O38</f>
        <v>0.29857404741015203</v>
      </c>
      <c r="O38" s="43">
        <f>21242311.973+2649766.641+10170075.097</f>
        <v>34062153.710999995</v>
      </c>
      <c r="P38" s="44"/>
      <c r="Q38" s="45" t="s">
        <v>129</v>
      </c>
    </row>
    <row r="39" spans="1:17" x14ac:dyDescent="0.3">
      <c r="A39" s="106"/>
      <c r="B39" s="55" t="s">
        <v>117</v>
      </c>
      <c r="C39" s="99" t="s">
        <v>122</v>
      </c>
      <c r="D39" s="57" t="s">
        <v>11</v>
      </c>
      <c r="E39" s="101" t="s">
        <v>123</v>
      </c>
      <c r="F39" s="57" t="s">
        <v>124</v>
      </c>
      <c r="G39" s="57">
        <v>12</v>
      </c>
      <c r="H39" s="57">
        <v>870</v>
      </c>
      <c r="I39" s="57" t="s">
        <v>125</v>
      </c>
      <c r="J39" s="55" t="s">
        <v>127</v>
      </c>
      <c r="K39" s="40">
        <f>75841708.988/O39</f>
        <v>0.85944431996144399</v>
      </c>
      <c r="L39" s="41">
        <f>0/O39</f>
        <v>0</v>
      </c>
      <c r="M39" s="41">
        <f>12403343.34/O39</f>
        <v>0.14055568003855598</v>
      </c>
      <c r="N39" s="42">
        <f>0/O39</f>
        <v>0</v>
      </c>
      <c r="O39" s="43">
        <f>75841708.988+12403343.34</f>
        <v>88245052.328000009</v>
      </c>
      <c r="P39" s="44"/>
      <c r="Q39" s="45"/>
    </row>
    <row r="40" spans="1:17" x14ac:dyDescent="0.3">
      <c r="A40" s="107"/>
      <c r="B40" s="55" t="s">
        <v>134</v>
      </c>
      <c r="C40" s="99" t="s">
        <v>122</v>
      </c>
      <c r="D40" s="57" t="s">
        <v>11</v>
      </c>
      <c r="E40" s="101" t="s">
        <v>123</v>
      </c>
      <c r="F40" s="57" t="s">
        <v>124</v>
      </c>
      <c r="G40" s="57">
        <v>12</v>
      </c>
      <c r="H40" s="57">
        <v>870</v>
      </c>
      <c r="I40" s="57" t="s">
        <v>125</v>
      </c>
      <c r="J40" s="55" t="s">
        <v>128</v>
      </c>
      <c r="K40" s="40">
        <f>32202684.474/O40</f>
        <v>0.79540699173072016</v>
      </c>
      <c r="L40" s="41">
        <f>130352.575/O40</f>
        <v>3.2197113761995703E-3</v>
      </c>
      <c r="M40" s="41">
        <f>2154700.853/O40</f>
        <v>5.3221156917774876E-2</v>
      </c>
      <c r="N40" s="42">
        <f>5998057.18/O40</f>
        <v>0.14815213997530555</v>
      </c>
      <c r="O40" s="43">
        <f>32202684.474+130352.575+2154700.853+5998057.18</f>
        <v>40485795.081999995</v>
      </c>
      <c r="P40" s="44"/>
      <c r="Q40" s="45"/>
    </row>
    <row r="42" spans="1:17" x14ac:dyDescent="0.3">
      <c r="A42" s="105" t="s">
        <v>135</v>
      </c>
      <c r="B42" s="66" t="s">
        <v>136</v>
      </c>
      <c r="C42" s="98" t="s">
        <v>122</v>
      </c>
      <c r="D42" s="68" t="s">
        <v>11</v>
      </c>
      <c r="E42" s="100" t="s">
        <v>123</v>
      </c>
      <c r="F42" s="68" t="s">
        <v>124</v>
      </c>
      <c r="G42" s="68">
        <v>12</v>
      </c>
      <c r="H42" s="68">
        <v>870</v>
      </c>
      <c r="I42" s="68" t="s">
        <v>125</v>
      </c>
      <c r="J42" s="66" t="s">
        <v>20</v>
      </c>
      <c r="K42" s="40">
        <f>81863616.41/O42</f>
        <v>0.84316861852034386</v>
      </c>
      <c r="L42" s="41">
        <f>1601863.54/O42</f>
        <v>1.64986733705417E-2</v>
      </c>
      <c r="M42" s="41">
        <f>11496793.508/O42</f>
        <v>0.11841323318780093</v>
      </c>
      <c r="N42" s="42">
        <f>2128171.573/O42</f>
        <v>2.1919474900714039E-2</v>
      </c>
      <c r="O42" s="43">
        <f>81863616.41+1601863.54+11496793.508+2128171.575</f>
        <v>97090445.033000007</v>
      </c>
      <c r="P42" s="44"/>
      <c r="Q42" s="45"/>
    </row>
    <row r="43" spans="1:17" x14ac:dyDescent="0.3">
      <c r="A43" s="106"/>
      <c r="B43" s="55" t="s">
        <v>132</v>
      </c>
      <c r="C43" s="99" t="s">
        <v>122</v>
      </c>
      <c r="D43" s="57" t="s">
        <v>11</v>
      </c>
      <c r="E43" s="101" t="s">
        <v>123</v>
      </c>
      <c r="F43" s="57">
        <v>2</v>
      </c>
      <c r="G43" s="57">
        <v>12</v>
      </c>
      <c r="H43" s="57">
        <v>870</v>
      </c>
      <c r="I43" s="57" t="s">
        <v>125</v>
      </c>
      <c r="J43" s="55" t="s">
        <v>20</v>
      </c>
      <c r="K43" s="40">
        <f>94235282.232/O43</f>
        <v>0.88202761963952014</v>
      </c>
      <c r="L43" s="41">
        <f>1050339/O43</f>
        <v>9.8310100637652859E-3</v>
      </c>
      <c r="M43" s="41">
        <f>11553756.06/O43</f>
        <v>0.10814136397881936</v>
      </c>
      <c r="N43" s="42">
        <f>0/O43</f>
        <v>0</v>
      </c>
      <c r="O43" s="43">
        <f>94235282.232+1050339.675+11553756.06</f>
        <v>106839377.96699999</v>
      </c>
      <c r="P43" s="44" t="s">
        <v>130</v>
      </c>
      <c r="Q43" s="45"/>
    </row>
    <row r="44" spans="1:17" x14ac:dyDescent="0.3">
      <c r="A44" s="106"/>
      <c r="B44" s="55" t="s">
        <v>133</v>
      </c>
      <c r="C44" s="99" t="s">
        <v>122</v>
      </c>
      <c r="D44" s="57" t="s">
        <v>11</v>
      </c>
      <c r="E44" s="101" t="s">
        <v>123</v>
      </c>
      <c r="F44" s="57">
        <v>3</v>
      </c>
      <c r="G44" s="57">
        <v>12</v>
      </c>
      <c r="H44" s="57">
        <v>870</v>
      </c>
      <c r="I44" s="57" t="s">
        <v>125</v>
      </c>
      <c r="J44" s="55" t="s">
        <v>20</v>
      </c>
      <c r="K44" s="40">
        <f>85218168.092/O44</f>
        <v>0.86442381460051199</v>
      </c>
      <c r="L44" s="102">
        <f>1149216.31/O44</f>
        <v>1.165725535684899E-2</v>
      </c>
      <c r="M44" s="41">
        <f>12216396.67/O44</f>
        <v>0.12391893004263893</v>
      </c>
      <c r="N44" s="42">
        <f>0/O44</f>
        <v>0</v>
      </c>
      <c r="O44" s="43">
        <f>85218168.092+12216396.67+1149216.31</f>
        <v>98583781.071999997</v>
      </c>
      <c r="P44" s="44" t="s">
        <v>130</v>
      </c>
      <c r="Q44" s="103" t="s">
        <v>129</v>
      </c>
    </row>
    <row r="45" spans="1:17" x14ac:dyDescent="0.3">
      <c r="A45" s="107"/>
      <c r="B45" s="55" t="s">
        <v>117</v>
      </c>
      <c r="C45" s="99" t="s">
        <v>122</v>
      </c>
      <c r="D45" s="57" t="s">
        <v>11</v>
      </c>
      <c r="E45" s="101" t="s">
        <v>123</v>
      </c>
      <c r="F45" s="57">
        <v>4</v>
      </c>
      <c r="G45" s="57">
        <v>12</v>
      </c>
      <c r="H45" s="57">
        <v>870</v>
      </c>
      <c r="I45" s="57" t="s">
        <v>125</v>
      </c>
      <c r="J45" s="55" t="s">
        <v>20</v>
      </c>
      <c r="K45" s="40">
        <f>90180802.681/O45</f>
        <v>0.84614955281202286</v>
      </c>
      <c r="L45" s="41">
        <f>1227812.699/O45</f>
        <v>1.1520336205819326E-2</v>
      </c>
      <c r="M45" s="41">
        <f>15169237.65/O45</f>
        <v>0.14233011098215778</v>
      </c>
      <c r="N45" s="42">
        <f>0/O45</f>
        <v>0</v>
      </c>
      <c r="O45" s="43">
        <f>90180802.681+1227812.699+15169237.65</f>
        <v>106577853.03</v>
      </c>
      <c r="P45" s="44" t="s">
        <v>130</v>
      </c>
      <c r="Q45" s="104"/>
    </row>
    <row r="47" spans="1:17" x14ac:dyDescent="0.3">
      <c r="A47" s="105" t="s">
        <v>137</v>
      </c>
      <c r="B47" s="66" t="s">
        <v>136</v>
      </c>
      <c r="C47" s="98" t="s">
        <v>122</v>
      </c>
      <c r="D47" s="68" t="s">
        <v>11</v>
      </c>
      <c r="E47" s="100" t="s">
        <v>123</v>
      </c>
      <c r="F47" s="68" t="s">
        <v>124</v>
      </c>
      <c r="G47" s="68">
        <v>12</v>
      </c>
      <c r="H47" s="68">
        <v>870</v>
      </c>
      <c r="I47" s="68" t="s">
        <v>125</v>
      </c>
      <c r="J47" s="66" t="s">
        <v>20</v>
      </c>
      <c r="K47" s="40">
        <f>81863616.41/O47</f>
        <v>0.84316861852034386</v>
      </c>
      <c r="L47" s="41">
        <f>1601863.54/O47</f>
        <v>1.64986733705417E-2</v>
      </c>
      <c r="M47" s="41">
        <f>11496793.508/O47</f>
        <v>0.11841323318780093</v>
      </c>
      <c r="N47" s="42">
        <f>2128171.573/O47</f>
        <v>2.1919474900714039E-2</v>
      </c>
      <c r="O47" s="43">
        <f>81863616.41+1601863.54+11496793.508+2128171.575</f>
        <v>97090445.033000007</v>
      </c>
      <c r="P47" s="44"/>
      <c r="Q47" s="45"/>
    </row>
    <row r="48" spans="1:17" x14ac:dyDescent="0.3">
      <c r="A48" s="106"/>
      <c r="B48" s="55" t="s">
        <v>132</v>
      </c>
      <c r="C48" s="99" t="s">
        <v>122</v>
      </c>
      <c r="D48" s="57" t="s">
        <v>11</v>
      </c>
      <c r="E48" s="101" t="s">
        <v>123</v>
      </c>
      <c r="F48" s="57" t="s">
        <v>124</v>
      </c>
      <c r="G48" s="57">
        <v>12</v>
      </c>
      <c r="H48" s="57">
        <v>870</v>
      </c>
      <c r="I48" s="57" t="s">
        <v>125</v>
      </c>
      <c r="J48" s="55" t="s">
        <v>20</v>
      </c>
      <c r="K48" s="40">
        <f>92948237.67/O48</f>
        <v>0.82124843267766423</v>
      </c>
      <c r="L48" s="41">
        <f>2487109.168/O48</f>
        <v>2.197496754451643E-2</v>
      </c>
      <c r="M48" s="41">
        <f>13372181.915/O48</f>
        <v>0.11815052887999909</v>
      </c>
      <c r="N48" s="42">
        <f>4371667.665/O48</f>
        <v>3.8626070897820323E-2</v>
      </c>
      <c r="O48" s="43">
        <f>92948237.67+2487109.168+13372181.915+4371667.665</f>
        <v>113179196.418</v>
      </c>
      <c r="P48" s="44"/>
      <c r="Q48" s="45" t="s">
        <v>138</v>
      </c>
    </row>
  </sheetData>
  <sortState xmlns:xlrd2="http://schemas.microsoft.com/office/spreadsheetml/2017/richdata2" ref="A2:Q35">
    <sortCondition ref="E1:E35"/>
  </sortState>
  <mergeCells count="4">
    <mergeCell ref="Q44:Q45"/>
    <mergeCell ref="A37:A40"/>
    <mergeCell ref="A42:A45"/>
    <mergeCell ref="A47:A48"/>
  </mergeCells>
  <phoneticPr fontId="5" type="noConversion"/>
  <conditionalFormatting sqref="L1:L26 L28:L43 M44 L45:L104857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L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7:N27 K1:K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:M26 M28:M43 M45:M1048576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:N26 N28:N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7C81D-98AE-4C7F-B38B-B10E5ABAA769}">
  <dimension ref="A1:V182"/>
  <sheetViews>
    <sheetView topLeftCell="A140" zoomScaleNormal="100" workbookViewId="0">
      <selection activeCell="M156" sqref="M156"/>
    </sheetView>
  </sheetViews>
  <sheetFormatPr baseColWidth="10" defaultRowHeight="14.4" x14ac:dyDescent="0.3"/>
  <cols>
    <col min="1" max="1" width="13.21875" bestFit="1" customWidth="1"/>
    <col min="2" max="2" width="9.44140625" customWidth="1"/>
    <col min="3" max="3" width="8.44140625" customWidth="1"/>
    <col min="4" max="4" width="8.33203125" bestFit="1" customWidth="1"/>
    <col min="5" max="7" width="8.5546875" bestFit="1" customWidth="1"/>
    <col min="8" max="8" width="9.109375" customWidth="1"/>
    <col min="9" max="9" width="9.33203125" customWidth="1"/>
    <col min="10" max="10" width="8.88671875" style="21" customWidth="1"/>
    <col min="11" max="11" width="10.33203125" customWidth="1"/>
    <col min="12" max="12" width="9" customWidth="1"/>
    <col min="13" max="13" width="9.44140625" customWidth="1"/>
    <col min="14" max="14" width="7.33203125" bestFit="1" customWidth="1"/>
    <col min="15" max="15" width="7.109375" bestFit="1" customWidth="1"/>
  </cols>
  <sheetData>
    <row r="1" spans="1:10" x14ac:dyDescent="0.3">
      <c r="A1" s="17">
        <v>45589</v>
      </c>
      <c r="B1" s="18" t="s">
        <v>66</v>
      </c>
      <c r="C1" s="18" t="s">
        <v>9</v>
      </c>
      <c r="D1" s="18" t="s">
        <v>68</v>
      </c>
      <c r="E1" s="18" t="s">
        <v>67</v>
      </c>
      <c r="F1" s="18" t="s">
        <v>69</v>
      </c>
      <c r="G1" s="20" t="s">
        <v>70</v>
      </c>
      <c r="H1" s="20" t="s">
        <v>89</v>
      </c>
    </row>
    <row r="2" spans="1:10" ht="15.6" x14ac:dyDescent="0.3">
      <c r="A2" s="18" t="s">
        <v>94</v>
      </c>
      <c r="B2" s="113">
        <v>214.38</v>
      </c>
      <c r="C2" s="113" t="s">
        <v>53</v>
      </c>
      <c r="D2" s="12">
        <v>5.0000000000000001E-3</v>
      </c>
      <c r="E2" s="12">
        <v>0.25</v>
      </c>
      <c r="F2" s="12">
        <f t="shared" ref="F2:F7" si="0">E2*D2*$B$2</f>
        <v>0.26797500000000002</v>
      </c>
      <c r="G2" s="12">
        <v>0.2969</v>
      </c>
      <c r="H2" s="13">
        <f t="shared" ref="H2:H7" si="1">G2/(D2*$B$2)</f>
        <v>0.2769847933575893</v>
      </c>
    </row>
    <row r="3" spans="1:10" ht="15.6" x14ac:dyDescent="0.3">
      <c r="A3" s="18" t="s">
        <v>95</v>
      </c>
      <c r="B3" s="117"/>
      <c r="C3" s="114"/>
      <c r="D3" s="12">
        <v>5.0000000000000001E-3</v>
      </c>
      <c r="E3" s="12">
        <v>1</v>
      </c>
      <c r="F3" s="12">
        <f t="shared" si="0"/>
        <v>1.0719000000000001</v>
      </c>
      <c r="G3" s="12">
        <v>1.0724</v>
      </c>
      <c r="H3" s="13">
        <f t="shared" si="1"/>
        <v>1.0004664614236403</v>
      </c>
    </row>
    <row r="4" spans="1:10" ht="15.6" x14ac:dyDescent="0.3">
      <c r="A4" s="18" t="s">
        <v>96</v>
      </c>
      <c r="B4" s="117"/>
      <c r="C4" s="113" t="s">
        <v>20</v>
      </c>
      <c r="D4" s="12">
        <v>5.0000000000000001E-3</v>
      </c>
      <c r="E4" s="12">
        <v>0.25</v>
      </c>
      <c r="F4" s="12">
        <f t="shared" si="0"/>
        <v>0.26797500000000002</v>
      </c>
      <c r="G4" s="12">
        <v>0.27010000000000001</v>
      </c>
      <c r="H4" s="13">
        <f t="shared" si="1"/>
        <v>0.25198246105047112</v>
      </c>
    </row>
    <row r="5" spans="1:10" ht="15.6" x14ac:dyDescent="0.3">
      <c r="A5" s="18" t="s">
        <v>97</v>
      </c>
      <c r="B5" s="117"/>
      <c r="C5" s="114"/>
      <c r="D5" s="12">
        <v>2E-3</v>
      </c>
      <c r="E5" s="12">
        <v>1</v>
      </c>
      <c r="F5" s="12">
        <f t="shared" si="0"/>
        <v>0.42875999999999997</v>
      </c>
      <c r="G5" s="12">
        <v>0.43109999999999998</v>
      </c>
      <c r="H5" s="13">
        <f t="shared" si="1"/>
        <v>1.005457598656591</v>
      </c>
    </row>
    <row r="6" spans="1:10" ht="15.6" x14ac:dyDescent="0.3">
      <c r="A6" s="18" t="s">
        <v>98</v>
      </c>
      <c r="B6" s="117"/>
      <c r="C6" s="113" t="s">
        <v>81</v>
      </c>
      <c r="D6" s="12">
        <v>5.0000000000000001E-3</v>
      </c>
      <c r="E6" s="12">
        <v>0.25</v>
      </c>
      <c r="F6" s="12">
        <f t="shared" si="0"/>
        <v>0.26797500000000002</v>
      </c>
      <c r="G6" s="12">
        <v>0.26979999999999998</v>
      </c>
      <c r="H6" s="13">
        <f t="shared" si="1"/>
        <v>0.25170258419628694</v>
      </c>
    </row>
    <row r="7" spans="1:10" ht="15.6" x14ac:dyDescent="0.3">
      <c r="A7" s="18" t="s">
        <v>99</v>
      </c>
      <c r="B7" s="114"/>
      <c r="C7" s="114"/>
      <c r="D7" s="12">
        <v>2E-3</v>
      </c>
      <c r="E7" s="12">
        <v>1</v>
      </c>
      <c r="F7" s="12">
        <f t="shared" si="0"/>
        <v>0.42875999999999997</v>
      </c>
      <c r="G7" s="12">
        <v>0.42849999999999999</v>
      </c>
      <c r="H7" s="13">
        <f t="shared" si="1"/>
        <v>0.9993936001492677</v>
      </c>
    </row>
    <row r="9" spans="1:10" x14ac:dyDescent="0.3">
      <c r="A9" s="17">
        <v>45589</v>
      </c>
      <c r="B9" s="18" t="s">
        <v>66</v>
      </c>
      <c r="C9" s="18" t="s">
        <v>9</v>
      </c>
      <c r="D9" s="18" t="s">
        <v>68</v>
      </c>
      <c r="E9" s="18" t="s">
        <v>67</v>
      </c>
      <c r="F9" s="18" t="s">
        <v>69</v>
      </c>
      <c r="G9" s="20" t="s">
        <v>70</v>
      </c>
      <c r="H9" s="20" t="s">
        <v>89</v>
      </c>
    </row>
    <row r="10" spans="1:10" ht="15.6" x14ac:dyDescent="0.3">
      <c r="A10" s="18" t="s">
        <v>100</v>
      </c>
      <c r="B10" s="113">
        <v>107.11</v>
      </c>
      <c r="C10" s="113" t="s">
        <v>53</v>
      </c>
      <c r="D10" s="13">
        <v>5.0000000000000001E-3</v>
      </c>
      <c r="E10" s="11">
        <v>0.5</v>
      </c>
      <c r="F10" s="13">
        <f>E10*D10*$B$10</f>
        <v>0.26777499999999999</v>
      </c>
      <c r="G10" s="13">
        <v>0.26829999999999998</v>
      </c>
      <c r="H10" s="14">
        <f>G10/($B$10*D10)</f>
        <v>0.50098030062552512</v>
      </c>
    </row>
    <row r="11" spans="1:10" ht="15.6" x14ac:dyDescent="0.3">
      <c r="A11" s="18" t="s">
        <v>101</v>
      </c>
      <c r="B11" s="117"/>
      <c r="C11" s="114"/>
      <c r="D11" s="13">
        <v>2E-3</v>
      </c>
      <c r="E11" s="11">
        <v>1.5</v>
      </c>
      <c r="F11" s="13">
        <f>E11*D11*$B$10</f>
        <v>0.32133</v>
      </c>
      <c r="G11" s="13">
        <v>0.32250000000000001</v>
      </c>
      <c r="H11" s="14">
        <f>G11/($B$10*D11)</f>
        <v>1.5054616749136402</v>
      </c>
    </row>
    <row r="12" spans="1:10" ht="15.6" x14ac:dyDescent="0.3">
      <c r="A12" s="18" t="s">
        <v>102</v>
      </c>
      <c r="B12" s="117"/>
      <c r="C12" s="10" t="s">
        <v>20</v>
      </c>
      <c r="D12" s="13">
        <v>5.0000000000000001E-3</v>
      </c>
      <c r="E12" s="11">
        <v>0.5</v>
      </c>
      <c r="F12" s="13">
        <f>E12*D12*$B$10</f>
        <v>0.26777499999999999</v>
      </c>
      <c r="G12" s="13">
        <v>0.26919999999999999</v>
      </c>
      <c r="H12" s="14">
        <f>G12/($B$10*D12)</f>
        <v>0.50266081598356827</v>
      </c>
    </row>
    <row r="13" spans="1:10" ht="15.6" x14ac:dyDescent="0.3">
      <c r="A13" s="18" t="s">
        <v>103</v>
      </c>
      <c r="B13" s="114"/>
      <c r="C13" s="10" t="s">
        <v>82</v>
      </c>
      <c r="D13" s="13">
        <v>5.0000000000000001E-3</v>
      </c>
      <c r="E13" s="11">
        <v>0.5</v>
      </c>
      <c r="F13" s="13">
        <f>E13*D13*$B$10</f>
        <v>0.26777499999999999</v>
      </c>
      <c r="G13" s="13">
        <v>0.2697</v>
      </c>
      <c r="H13" s="14">
        <f>G13/($B$10*D13)</f>
        <v>0.50359443562692563</v>
      </c>
    </row>
    <row r="15" spans="1:10" ht="14.4" customHeight="1" x14ac:dyDescent="0.3">
      <c r="A15" s="17">
        <v>45589</v>
      </c>
      <c r="B15" s="115" t="s">
        <v>87</v>
      </c>
      <c r="C15" s="115"/>
      <c r="D15" s="108" t="s">
        <v>88</v>
      </c>
      <c r="E15" s="108"/>
      <c r="F15" s="109" t="s">
        <v>9</v>
      </c>
      <c r="G15" s="109"/>
      <c r="H15" s="110" t="s">
        <v>90</v>
      </c>
      <c r="I15" s="111"/>
      <c r="J15" s="112"/>
    </row>
    <row r="16" spans="1:10" ht="43.2" x14ac:dyDescent="0.3">
      <c r="A16" s="19" t="s">
        <v>83</v>
      </c>
      <c r="B16" s="19" t="s">
        <v>85</v>
      </c>
      <c r="C16" s="19" t="s">
        <v>84</v>
      </c>
      <c r="D16" s="19" t="s">
        <v>86</v>
      </c>
      <c r="E16" s="19" t="s">
        <v>84</v>
      </c>
      <c r="F16" s="19" t="s">
        <v>9</v>
      </c>
      <c r="G16" s="19" t="s">
        <v>84</v>
      </c>
      <c r="H16" s="19" t="s">
        <v>91</v>
      </c>
      <c r="I16" s="19" t="s">
        <v>92</v>
      </c>
      <c r="J16" s="22" t="s">
        <v>93</v>
      </c>
    </row>
    <row r="17" spans="1:10" ht="15.6" x14ac:dyDescent="0.3">
      <c r="A17" s="18">
        <v>1</v>
      </c>
      <c r="B17" s="10" t="s">
        <v>71</v>
      </c>
      <c r="C17" s="10">
        <v>4</v>
      </c>
      <c r="D17" s="10" t="s">
        <v>77</v>
      </c>
      <c r="E17" s="10">
        <v>1</v>
      </c>
      <c r="F17" s="116" t="s">
        <v>53</v>
      </c>
      <c r="G17" s="10">
        <v>5</v>
      </c>
      <c r="H17" s="14">
        <f>H2*C17/(C17+E17+G17)</f>
        <v>0.11079391734303572</v>
      </c>
      <c r="I17" s="14">
        <f>H10*E17/(C17+G17+E17)</f>
        <v>5.0098030062552514E-2</v>
      </c>
      <c r="J17" s="15">
        <f>I17/H17</f>
        <v>0.45217310899334834</v>
      </c>
    </row>
    <row r="18" spans="1:10" ht="15.6" x14ac:dyDescent="0.3">
      <c r="A18" s="18">
        <v>7</v>
      </c>
      <c r="B18" s="10" t="s">
        <v>72</v>
      </c>
      <c r="C18" s="10">
        <v>2</v>
      </c>
      <c r="D18" s="10" t="s">
        <v>78</v>
      </c>
      <c r="E18" s="10">
        <v>2</v>
      </c>
      <c r="F18" s="116"/>
      <c r="G18" s="10">
        <v>0</v>
      </c>
      <c r="H18" s="14">
        <f>H3*C18/(C18+E18+G18)</f>
        <v>0.50023323071182013</v>
      </c>
      <c r="I18" s="14">
        <f>H11*E18/(C18+G18+E18)</f>
        <v>0.75273083745682012</v>
      </c>
      <c r="J18" s="15">
        <f t="shared" ref="J18:J23" si="2">I18/H18</f>
        <v>1.5047597625325728</v>
      </c>
    </row>
    <row r="19" spans="1:10" ht="15.6" x14ac:dyDescent="0.3">
      <c r="A19" s="18">
        <v>8</v>
      </c>
      <c r="B19" s="10" t="s">
        <v>72</v>
      </c>
      <c r="C19" s="10">
        <v>2</v>
      </c>
      <c r="D19" s="10" t="s">
        <v>77</v>
      </c>
      <c r="E19" s="10">
        <v>2</v>
      </c>
      <c r="F19" s="116"/>
      <c r="G19" s="10">
        <v>0</v>
      </c>
      <c r="H19" s="14">
        <f>H3*C19/(C19+E19+G19)</f>
        <v>0.50023323071182013</v>
      </c>
      <c r="I19" s="14">
        <f>H10*E19/(C19+G19+E19)</f>
        <v>0.25049015031276256</v>
      </c>
      <c r="J19" s="15">
        <f t="shared" si="2"/>
        <v>0.50074672159688582</v>
      </c>
    </row>
    <row r="20" spans="1:10" ht="15.6" x14ac:dyDescent="0.3">
      <c r="A20" s="18">
        <v>11</v>
      </c>
      <c r="B20" s="10" t="s">
        <v>73</v>
      </c>
      <c r="C20" s="10">
        <v>4</v>
      </c>
      <c r="D20" s="10" t="s">
        <v>79</v>
      </c>
      <c r="E20" s="10">
        <v>3</v>
      </c>
      <c r="F20" s="116" t="s">
        <v>20</v>
      </c>
      <c r="G20" s="10">
        <v>3</v>
      </c>
      <c r="H20" s="14">
        <f>H4*C20/(C20+E20+G20)</f>
        <v>0.10079298442018844</v>
      </c>
      <c r="I20" s="14">
        <f>H12*E20/(C20+G20+E20)</f>
        <v>0.15079824479507048</v>
      </c>
      <c r="J20" s="15">
        <f t="shared" si="2"/>
        <v>1.4961184616423182</v>
      </c>
    </row>
    <row r="21" spans="1:10" ht="15.6" x14ac:dyDescent="0.3">
      <c r="A21" s="18">
        <v>16</v>
      </c>
      <c r="B21" s="10" t="s">
        <v>74</v>
      </c>
      <c r="C21" s="10">
        <v>2</v>
      </c>
      <c r="D21" s="10" t="s">
        <v>79</v>
      </c>
      <c r="E21" s="10">
        <v>2</v>
      </c>
      <c r="F21" s="116"/>
      <c r="G21" s="10">
        <v>0</v>
      </c>
      <c r="H21" s="14">
        <f>H5*C21/(C21+E21+G21)</f>
        <v>0.50272879932829551</v>
      </c>
      <c r="I21" s="14">
        <f>H12*E21/(C21+G21+E21)</f>
        <v>0.25133040799178413</v>
      </c>
      <c r="J21" s="15">
        <f t="shared" si="2"/>
        <v>0.4999323856671648</v>
      </c>
    </row>
    <row r="22" spans="1:10" ht="15.6" x14ac:dyDescent="0.3">
      <c r="A22" s="18">
        <v>24</v>
      </c>
      <c r="B22" s="10" t="s">
        <v>75</v>
      </c>
      <c r="C22" s="10">
        <v>4</v>
      </c>
      <c r="D22" s="10" t="s">
        <v>80</v>
      </c>
      <c r="E22" s="10">
        <v>3</v>
      </c>
      <c r="F22" s="116" t="s">
        <v>81</v>
      </c>
      <c r="G22" s="10">
        <v>3</v>
      </c>
      <c r="H22" s="14">
        <f>H6*C22/(C22+E22+G22)</f>
        <v>0.10068103367851478</v>
      </c>
      <c r="I22" s="14">
        <f>H13*E22/(C22+G22+E22)</f>
        <v>0.15107833068807769</v>
      </c>
      <c r="J22" s="15">
        <f t="shared" si="2"/>
        <v>1.5005639609391261</v>
      </c>
    </row>
    <row r="23" spans="1:10" ht="15.6" x14ac:dyDescent="0.3">
      <c r="A23" s="18">
        <v>27</v>
      </c>
      <c r="B23" s="10" t="s">
        <v>76</v>
      </c>
      <c r="C23" s="10">
        <v>2</v>
      </c>
      <c r="D23" s="10" t="s">
        <v>80</v>
      </c>
      <c r="E23" s="10">
        <v>2</v>
      </c>
      <c r="F23" s="116"/>
      <c r="G23" s="10">
        <v>0</v>
      </c>
      <c r="H23" s="14">
        <f>H7*C23/(C23+E23+G23)</f>
        <v>0.49969680007463385</v>
      </c>
      <c r="I23" s="14">
        <f>H13*E23/(C23+G23+E23)</f>
        <v>0.25179721781346281</v>
      </c>
      <c r="J23" s="15">
        <f t="shared" si="2"/>
        <v>0.50390000051202011</v>
      </c>
    </row>
    <row r="25" spans="1:10" ht="15" thickBot="1" x14ac:dyDescent="0.35">
      <c r="A25" s="16"/>
      <c r="B25" s="16"/>
      <c r="C25" s="16"/>
      <c r="D25" s="16"/>
      <c r="E25" s="16"/>
      <c r="F25" s="16"/>
      <c r="G25" s="16"/>
      <c r="H25" s="16"/>
      <c r="I25" s="16"/>
      <c r="J25" s="23"/>
    </row>
    <row r="28" spans="1:10" x14ac:dyDescent="0.3">
      <c r="A28" s="17">
        <v>45594</v>
      </c>
      <c r="B28" s="18" t="s">
        <v>66</v>
      </c>
      <c r="C28" s="18" t="s">
        <v>9</v>
      </c>
      <c r="D28" s="18" t="s">
        <v>68</v>
      </c>
      <c r="E28" s="18" t="s">
        <v>67</v>
      </c>
      <c r="F28" s="18" t="s">
        <v>69</v>
      </c>
      <c r="G28" s="20" t="s">
        <v>70</v>
      </c>
      <c r="H28" s="20" t="s">
        <v>89</v>
      </c>
    </row>
    <row r="29" spans="1:10" ht="15.6" x14ac:dyDescent="0.3">
      <c r="A29" s="18" t="s">
        <v>94</v>
      </c>
      <c r="B29" s="116">
        <v>214.38</v>
      </c>
      <c r="C29" s="113" t="s">
        <v>20</v>
      </c>
      <c r="D29" s="12">
        <v>0.01</v>
      </c>
      <c r="E29" s="10">
        <v>0.25</v>
      </c>
      <c r="F29" s="12">
        <f>E29*D29*$B$2</f>
        <v>0.53595000000000004</v>
      </c>
      <c r="G29" s="12">
        <v>0.53859999999999997</v>
      </c>
      <c r="H29" s="13">
        <f>G29/(D29*$B$2)</f>
        <v>0.25123612277264668</v>
      </c>
    </row>
    <row r="30" spans="1:10" ht="15.6" x14ac:dyDescent="0.3">
      <c r="A30" s="18" t="s">
        <v>95</v>
      </c>
      <c r="B30" s="116"/>
      <c r="C30" s="114"/>
      <c r="D30" s="12">
        <v>2E-3</v>
      </c>
      <c r="E30" s="10">
        <v>1</v>
      </c>
      <c r="F30" s="12">
        <f>E30*D30*$B$2</f>
        <v>0.42875999999999997</v>
      </c>
      <c r="G30" s="12">
        <v>0.43</v>
      </c>
      <c r="H30" s="13">
        <f>G30/(D30*$B$2)</f>
        <v>1.0028920608265697</v>
      </c>
    </row>
    <row r="32" spans="1:10" x14ac:dyDescent="0.3">
      <c r="A32" s="17">
        <v>45594</v>
      </c>
      <c r="B32" s="18" t="s">
        <v>66</v>
      </c>
      <c r="C32" s="18" t="s">
        <v>9</v>
      </c>
      <c r="D32" s="18" t="s">
        <v>68</v>
      </c>
      <c r="E32" s="18" t="s">
        <v>67</v>
      </c>
      <c r="F32" s="18" t="s">
        <v>69</v>
      </c>
      <c r="G32" s="20" t="s">
        <v>70</v>
      </c>
      <c r="H32" s="20" t="s">
        <v>89</v>
      </c>
    </row>
    <row r="33" spans="1:10" ht="15.6" x14ac:dyDescent="0.3">
      <c r="A33" s="18" t="s">
        <v>100</v>
      </c>
      <c r="B33" s="116">
        <v>107.11</v>
      </c>
      <c r="C33" s="113" t="s">
        <v>20</v>
      </c>
      <c r="D33" s="13">
        <v>5.0000000000000001E-3</v>
      </c>
      <c r="E33" s="11">
        <v>0.5</v>
      </c>
      <c r="F33" s="13">
        <f>E33*D33*$B$10</f>
        <v>0.26777499999999999</v>
      </c>
      <c r="G33" s="13">
        <v>0.26819999999999999</v>
      </c>
      <c r="H33" s="14">
        <f>G33/($B$10*D33)</f>
        <v>0.50079357669685376</v>
      </c>
    </row>
    <row r="34" spans="1:10" ht="15.6" x14ac:dyDescent="0.3">
      <c r="A34" s="18" t="s">
        <v>101</v>
      </c>
      <c r="B34" s="116"/>
      <c r="C34" s="114"/>
      <c r="D34" s="13">
        <v>2E-3</v>
      </c>
      <c r="E34" s="11">
        <v>1.5</v>
      </c>
      <c r="F34" s="13">
        <f>E34*D34*$B$10</f>
        <v>0.32133</v>
      </c>
      <c r="G34" s="13">
        <v>0.3226</v>
      </c>
      <c r="H34" s="14">
        <f>G34/($B$10*D34)</f>
        <v>1.5059284847353189</v>
      </c>
    </row>
    <row r="36" spans="1:10" x14ac:dyDescent="0.3">
      <c r="A36" s="17">
        <v>45594</v>
      </c>
      <c r="B36" s="115" t="s">
        <v>87</v>
      </c>
      <c r="C36" s="115"/>
      <c r="D36" s="108" t="s">
        <v>88</v>
      </c>
      <c r="E36" s="108"/>
      <c r="F36" s="109" t="s">
        <v>9</v>
      </c>
      <c r="G36" s="109"/>
      <c r="H36" s="110" t="s">
        <v>90</v>
      </c>
      <c r="I36" s="111"/>
      <c r="J36" s="112"/>
    </row>
    <row r="37" spans="1:10" ht="43.2" x14ac:dyDescent="0.3">
      <c r="A37" s="19" t="s">
        <v>83</v>
      </c>
      <c r="B37" s="19" t="s">
        <v>85</v>
      </c>
      <c r="C37" s="19" t="s">
        <v>84</v>
      </c>
      <c r="D37" s="19" t="s">
        <v>86</v>
      </c>
      <c r="E37" s="19" t="s">
        <v>84</v>
      </c>
      <c r="F37" s="19" t="s">
        <v>9</v>
      </c>
      <c r="G37" s="19" t="s">
        <v>84</v>
      </c>
      <c r="H37" s="19" t="s">
        <v>91</v>
      </c>
      <c r="I37" s="19" t="s">
        <v>92</v>
      </c>
      <c r="J37" s="22" t="s">
        <v>93</v>
      </c>
    </row>
    <row r="38" spans="1:10" ht="15.6" x14ac:dyDescent="0.3">
      <c r="A38" s="18">
        <v>14</v>
      </c>
      <c r="B38" s="10" t="s">
        <v>71</v>
      </c>
      <c r="C38" s="10">
        <v>4</v>
      </c>
      <c r="D38" s="10" t="s">
        <v>77</v>
      </c>
      <c r="E38" s="10">
        <v>3</v>
      </c>
      <c r="F38" s="116" t="s">
        <v>20</v>
      </c>
      <c r="G38" s="10">
        <v>3</v>
      </c>
      <c r="H38" s="11">
        <f>H29*C38/(C38+E38+G38)</f>
        <v>0.10049444910905866</v>
      </c>
      <c r="I38" s="13">
        <f>H33*E38/(C38+G38+E38)</f>
        <v>0.15023807300905614</v>
      </c>
      <c r="J38" s="15">
        <f>I38/H38</f>
        <v>1.4949887714297003</v>
      </c>
    </row>
    <row r="39" spans="1:10" ht="15.6" x14ac:dyDescent="0.3">
      <c r="A39" s="18">
        <v>15</v>
      </c>
      <c r="B39" s="10" t="s">
        <v>71</v>
      </c>
      <c r="C39" s="10">
        <v>4</v>
      </c>
      <c r="D39" s="10" t="s">
        <v>77</v>
      </c>
      <c r="E39" s="10">
        <v>1</v>
      </c>
      <c r="F39" s="116"/>
      <c r="G39" s="10">
        <v>5</v>
      </c>
      <c r="H39" s="13">
        <f>H29*C39/(C39+E39+G39)</f>
        <v>0.10049444910905866</v>
      </c>
      <c r="I39" s="13">
        <f>H33*E39/(C39+G39+E39)</f>
        <v>5.0079357669685375E-2</v>
      </c>
      <c r="J39" s="15">
        <f>I39/H39</f>
        <v>0.49832959047656666</v>
      </c>
    </row>
    <row r="40" spans="1:10" ht="15.6" x14ac:dyDescent="0.3">
      <c r="A40" s="18">
        <v>20</v>
      </c>
      <c r="B40" s="10" t="s">
        <v>72</v>
      </c>
      <c r="C40" s="10">
        <v>2</v>
      </c>
      <c r="D40" s="10" t="s">
        <v>78</v>
      </c>
      <c r="E40" s="10">
        <v>2</v>
      </c>
      <c r="F40" s="116"/>
      <c r="G40" s="10">
        <v>0</v>
      </c>
      <c r="H40" s="11">
        <f>H30*C40/(C40+E40+G40)</f>
        <v>0.50144603041328484</v>
      </c>
      <c r="I40" s="13">
        <f>H34*E40/(C40+G40+E40)</f>
        <v>0.75296424236765946</v>
      </c>
      <c r="J40" s="15">
        <f>I40/H40</f>
        <v>1.5015858072444543</v>
      </c>
    </row>
    <row r="42" spans="1:10" ht="15" thickBot="1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23"/>
    </row>
    <row r="45" spans="1:10" x14ac:dyDescent="0.3">
      <c r="A45" s="17">
        <v>45603</v>
      </c>
      <c r="B45" s="18" t="s">
        <v>66</v>
      </c>
      <c r="C45" s="18" t="s">
        <v>9</v>
      </c>
      <c r="D45" s="18" t="s">
        <v>68</v>
      </c>
      <c r="E45" s="18" t="s">
        <v>67</v>
      </c>
      <c r="F45" s="18" t="s">
        <v>69</v>
      </c>
      <c r="G45" s="20" t="s">
        <v>70</v>
      </c>
      <c r="H45" s="20" t="s">
        <v>89</v>
      </c>
    </row>
    <row r="46" spans="1:10" ht="15.6" x14ac:dyDescent="0.3">
      <c r="A46" s="18" t="s">
        <v>94</v>
      </c>
      <c r="B46" s="116">
        <v>214.38</v>
      </c>
      <c r="C46" s="113" t="s">
        <v>53</v>
      </c>
      <c r="D46" s="12">
        <v>5.0000000000000001E-3</v>
      </c>
      <c r="E46" s="10">
        <v>0.25</v>
      </c>
      <c r="F46" s="12">
        <f>E46*D46*$B$2</f>
        <v>0.26797500000000002</v>
      </c>
      <c r="G46" s="12">
        <v>0.26950000000000002</v>
      </c>
      <c r="H46" s="12">
        <f>G46/(D46*$B$2)</f>
        <v>0.25142270734210281</v>
      </c>
    </row>
    <row r="47" spans="1:10" ht="15.6" x14ac:dyDescent="0.3">
      <c r="A47" s="18" t="s">
        <v>95</v>
      </c>
      <c r="B47" s="116"/>
      <c r="C47" s="114"/>
      <c r="D47" s="12">
        <v>2E-3</v>
      </c>
      <c r="E47" s="10">
        <v>1</v>
      </c>
      <c r="F47" s="12">
        <f>E47*D47*$B$2</f>
        <v>0.42875999999999997</v>
      </c>
      <c r="G47" s="12">
        <v>0.42880000000000001</v>
      </c>
      <c r="H47" s="12">
        <f>G47/(D47*$B$2)</f>
        <v>1.0000932922847281</v>
      </c>
    </row>
    <row r="49" spans="1:10" x14ac:dyDescent="0.3">
      <c r="A49" s="17">
        <v>45603</v>
      </c>
      <c r="B49" s="18" t="s">
        <v>66</v>
      </c>
      <c r="C49" s="18" t="s">
        <v>9</v>
      </c>
      <c r="D49" s="18" t="s">
        <v>68</v>
      </c>
      <c r="E49" s="18" t="s">
        <v>67</v>
      </c>
      <c r="F49" s="18" t="s">
        <v>69</v>
      </c>
      <c r="G49" s="20" t="s">
        <v>70</v>
      </c>
      <c r="H49" s="20" t="s">
        <v>89</v>
      </c>
    </row>
    <row r="50" spans="1:10" ht="15.6" x14ac:dyDescent="0.3">
      <c r="A50" s="18" t="s">
        <v>100</v>
      </c>
      <c r="B50" s="10">
        <v>107.11</v>
      </c>
      <c r="C50" s="10" t="s">
        <v>53</v>
      </c>
      <c r="D50" s="13">
        <v>0.01</v>
      </c>
      <c r="E50" s="11">
        <v>0.5</v>
      </c>
      <c r="F50" s="13">
        <f>E50*D50*$B$10</f>
        <v>0.53554999999999997</v>
      </c>
      <c r="G50" s="13">
        <v>0.53649999999999998</v>
      </c>
      <c r="H50" s="12">
        <f>G50/($B$10*D50)</f>
        <v>0.50088693866118938</v>
      </c>
    </row>
    <row r="52" spans="1:10" x14ac:dyDescent="0.3">
      <c r="A52" s="17">
        <v>45603</v>
      </c>
      <c r="B52" s="115" t="s">
        <v>87</v>
      </c>
      <c r="C52" s="115"/>
      <c r="D52" s="108" t="s">
        <v>88</v>
      </c>
      <c r="E52" s="108"/>
      <c r="F52" s="109" t="s">
        <v>9</v>
      </c>
      <c r="G52" s="109"/>
      <c r="H52" s="110" t="s">
        <v>90</v>
      </c>
      <c r="I52" s="111"/>
      <c r="J52" s="112"/>
    </row>
    <row r="53" spans="1:10" ht="43.2" x14ac:dyDescent="0.3">
      <c r="A53" s="19" t="s">
        <v>83</v>
      </c>
      <c r="B53" s="19" t="s">
        <v>85</v>
      </c>
      <c r="C53" s="19" t="s">
        <v>84</v>
      </c>
      <c r="D53" s="19" t="s">
        <v>86</v>
      </c>
      <c r="E53" s="19" t="s">
        <v>84</v>
      </c>
      <c r="F53" s="19" t="s">
        <v>9</v>
      </c>
      <c r="G53" s="19" t="s">
        <v>84</v>
      </c>
      <c r="H53" s="19" t="s">
        <v>91</v>
      </c>
      <c r="I53" s="19" t="s">
        <v>92</v>
      </c>
      <c r="J53" s="22" t="s">
        <v>93</v>
      </c>
    </row>
    <row r="54" spans="1:10" ht="15.6" x14ac:dyDescent="0.3">
      <c r="A54" s="18">
        <v>5</v>
      </c>
      <c r="B54" s="10" t="s">
        <v>71</v>
      </c>
      <c r="C54" s="10">
        <v>4</v>
      </c>
      <c r="D54" s="10" t="s">
        <v>77</v>
      </c>
      <c r="E54" s="10">
        <v>3</v>
      </c>
      <c r="F54" s="116" t="s">
        <v>53</v>
      </c>
      <c r="G54" s="10">
        <v>3</v>
      </c>
      <c r="H54" s="11">
        <f>H46*C54/(C54+E54+G54)</f>
        <v>0.10056908293684112</v>
      </c>
      <c r="I54" s="13">
        <f>H50*E54/(C54+G54+E54)</f>
        <v>0.1502660815983568</v>
      </c>
      <c r="J54" s="15">
        <f>I54/H54</f>
        <v>1.4941578187873716</v>
      </c>
    </row>
    <row r="55" spans="1:10" ht="15.6" x14ac:dyDescent="0.3">
      <c r="A55" s="18">
        <v>9</v>
      </c>
      <c r="B55" s="10" t="s">
        <v>72</v>
      </c>
      <c r="C55" s="10">
        <v>2</v>
      </c>
      <c r="D55" s="10" t="s">
        <v>77</v>
      </c>
      <c r="E55" s="10">
        <v>2</v>
      </c>
      <c r="F55" s="116"/>
      <c r="G55" s="10">
        <v>0</v>
      </c>
      <c r="H55" s="13">
        <f>H47*C55/(C55+E55+G55)</f>
        <v>0.50004664614236405</v>
      </c>
      <c r="I55" s="13">
        <f>H50*E55/(C55+G55+E55)</f>
        <v>0.25044346933059469</v>
      </c>
      <c r="J55" s="15">
        <f>I55/H55</f>
        <v>0.50084021413332913</v>
      </c>
    </row>
    <row r="57" spans="1:10" ht="15" thickBot="1" x14ac:dyDescent="0.35">
      <c r="A57" s="16"/>
      <c r="B57" s="16"/>
      <c r="C57" s="16"/>
      <c r="D57" s="16"/>
      <c r="E57" s="16"/>
      <c r="F57" s="16"/>
      <c r="G57" s="16"/>
      <c r="H57" s="16"/>
      <c r="I57" s="16"/>
      <c r="J57" s="23"/>
    </row>
    <row r="60" spans="1:10" x14ac:dyDescent="0.3">
      <c r="A60" s="17">
        <v>45608</v>
      </c>
      <c r="B60" s="18" t="s">
        <v>66</v>
      </c>
      <c r="C60" s="18" t="s">
        <v>9</v>
      </c>
      <c r="D60" s="18" t="s">
        <v>68</v>
      </c>
      <c r="E60" s="18" t="s">
        <v>67</v>
      </c>
      <c r="F60" s="18" t="s">
        <v>69</v>
      </c>
      <c r="G60" s="20" t="s">
        <v>70</v>
      </c>
      <c r="H60" s="20" t="s">
        <v>89</v>
      </c>
    </row>
    <row r="61" spans="1:10" ht="15.6" x14ac:dyDescent="0.3">
      <c r="A61" s="18" t="s">
        <v>94</v>
      </c>
      <c r="B61" s="10">
        <v>214.38</v>
      </c>
      <c r="C61" s="10" t="s">
        <v>81</v>
      </c>
      <c r="D61" s="12">
        <v>5.0000000000000001E-3</v>
      </c>
      <c r="E61" s="10">
        <v>1</v>
      </c>
      <c r="F61" s="12">
        <f>E61*D61*$B$2</f>
        <v>1.0719000000000001</v>
      </c>
      <c r="G61" s="12">
        <v>1.0720000000000001</v>
      </c>
      <c r="H61" s="12">
        <f>G61/(D61*$B$2)</f>
        <v>1.0000932922847281</v>
      </c>
    </row>
    <row r="63" spans="1:10" x14ac:dyDescent="0.3">
      <c r="A63" s="17">
        <v>45608</v>
      </c>
      <c r="B63" s="18" t="s">
        <v>66</v>
      </c>
      <c r="C63" s="18" t="s">
        <v>9</v>
      </c>
      <c r="D63" s="18" t="s">
        <v>68</v>
      </c>
      <c r="E63" s="18" t="s">
        <v>67</v>
      </c>
      <c r="F63" s="18" t="s">
        <v>69</v>
      </c>
      <c r="G63" s="20" t="s">
        <v>70</v>
      </c>
      <c r="H63" s="20" t="s">
        <v>89</v>
      </c>
    </row>
    <row r="64" spans="1:10" ht="15.6" x14ac:dyDescent="0.3">
      <c r="A64" s="18" t="s">
        <v>100</v>
      </c>
      <c r="B64" s="113">
        <v>107.11</v>
      </c>
      <c r="C64" s="113" t="s">
        <v>81</v>
      </c>
      <c r="D64" s="13">
        <v>5.0000000000000001E-3</v>
      </c>
      <c r="E64" s="11">
        <v>0.5</v>
      </c>
      <c r="F64" s="13">
        <f>E64*D64*$B$10</f>
        <v>0.26777499999999999</v>
      </c>
      <c r="G64" s="13">
        <v>0.26779999999999998</v>
      </c>
      <c r="H64" s="12">
        <f>G64/($B$10*D64)</f>
        <v>0.50004668098216787</v>
      </c>
    </row>
    <row r="65" spans="1:10" ht="15.6" x14ac:dyDescent="0.3">
      <c r="A65" s="18" t="s">
        <v>101</v>
      </c>
      <c r="B65" s="114"/>
      <c r="C65" s="114"/>
      <c r="D65" s="13">
        <v>2E-3</v>
      </c>
      <c r="E65" s="11">
        <v>1.5</v>
      </c>
      <c r="F65" s="13">
        <f>E65*D65*$B$10</f>
        <v>0.32133</v>
      </c>
      <c r="G65" s="13">
        <v>0.32150000000000001</v>
      </c>
      <c r="H65" s="12">
        <f>G65/($B$10*D65)</f>
        <v>1.5007935766968539</v>
      </c>
    </row>
    <row r="67" spans="1:10" x14ac:dyDescent="0.3">
      <c r="A67" s="17">
        <v>45608</v>
      </c>
      <c r="B67" s="115" t="s">
        <v>87</v>
      </c>
      <c r="C67" s="115"/>
      <c r="D67" s="108" t="s">
        <v>88</v>
      </c>
      <c r="E67" s="108"/>
      <c r="F67" s="109" t="s">
        <v>9</v>
      </c>
      <c r="G67" s="109"/>
      <c r="H67" s="110" t="s">
        <v>90</v>
      </c>
      <c r="I67" s="111"/>
      <c r="J67" s="112"/>
    </row>
    <row r="68" spans="1:10" ht="43.2" x14ac:dyDescent="0.3">
      <c r="A68" s="19" t="s">
        <v>83</v>
      </c>
      <c r="B68" s="19" t="s">
        <v>85</v>
      </c>
      <c r="C68" s="19" t="s">
        <v>84</v>
      </c>
      <c r="D68" s="19" t="s">
        <v>86</v>
      </c>
      <c r="E68" s="19" t="s">
        <v>84</v>
      </c>
      <c r="F68" s="19" t="s">
        <v>9</v>
      </c>
      <c r="G68" s="19" t="s">
        <v>84</v>
      </c>
      <c r="H68" s="19" t="s">
        <v>91</v>
      </c>
      <c r="I68" s="19" t="s">
        <v>92</v>
      </c>
      <c r="J68" s="22" t="s">
        <v>93</v>
      </c>
    </row>
    <row r="69" spans="1:10" ht="15.6" x14ac:dyDescent="0.3">
      <c r="A69" s="18">
        <v>25</v>
      </c>
      <c r="B69" s="113" t="s">
        <v>71</v>
      </c>
      <c r="C69" s="10">
        <v>1</v>
      </c>
      <c r="D69" s="10" t="s">
        <v>77</v>
      </c>
      <c r="E69" s="10">
        <v>1</v>
      </c>
      <c r="F69" s="113" t="s">
        <v>81</v>
      </c>
      <c r="G69" s="10">
        <v>8</v>
      </c>
      <c r="H69" s="11">
        <f>H61*C69/(C69+E69+G69)</f>
        <v>0.1000093292284728</v>
      </c>
      <c r="I69" s="13">
        <f>H64*E69/(C69+G69+E69)</f>
        <v>5.0004668098216784E-2</v>
      </c>
      <c r="J69" s="15">
        <f>I69/H69</f>
        <v>0.50000003483655386</v>
      </c>
    </row>
    <row r="70" spans="1:10" ht="15.6" x14ac:dyDescent="0.3">
      <c r="A70" s="18">
        <v>30</v>
      </c>
      <c r="B70" s="117"/>
      <c r="C70" s="10">
        <v>2</v>
      </c>
      <c r="D70" s="10" t="s">
        <v>78</v>
      </c>
      <c r="E70" s="10">
        <v>2</v>
      </c>
      <c r="F70" s="117"/>
      <c r="G70" s="10">
        <v>0</v>
      </c>
      <c r="H70" s="13">
        <f>H61*C70/(C70+E70+G70)</f>
        <v>0.50004664614236405</v>
      </c>
      <c r="I70" s="13">
        <f>H65*E70/(C70+G70+E70)</f>
        <v>0.75039678834842694</v>
      </c>
      <c r="J70" s="15">
        <f>I70/H70</f>
        <v>1.5006535772960425</v>
      </c>
    </row>
    <row r="71" spans="1:10" ht="15.6" x14ac:dyDescent="0.3">
      <c r="A71" s="18">
        <v>31</v>
      </c>
      <c r="B71" s="114"/>
      <c r="C71" s="10">
        <v>2</v>
      </c>
      <c r="D71" s="10" t="s">
        <v>77</v>
      </c>
      <c r="E71" s="10">
        <v>2</v>
      </c>
      <c r="F71" s="114"/>
      <c r="G71" s="10">
        <v>0</v>
      </c>
      <c r="H71" s="13">
        <f>H61*C71/(C71+E71+G71)</f>
        <v>0.50004664614236405</v>
      </c>
      <c r="I71" s="13">
        <f>H64*E71/(C71+G71+E71)</f>
        <v>0.25002334049108393</v>
      </c>
      <c r="J71" s="15">
        <f>I71/H71</f>
        <v>0.50000003483655386</v>
      </c>
    </row>
    <row r="73" spans="1:10" ht="15" thickBot="1" x14ac:dyDescent="0.35">
      <c r="A73" s="16"/>
      <c r="B73" s="16"/>
      <c r="C73" s="16"/>
      <c r="D73" s="16"/>
      <c r="E73" s="16"/>
      <c r="F73" s="16"/>
      <c r="G73" s="16"/>
      <c r="H73" s="16"/>
      <c r="I73" s="16"/>
      <c r="J73" s="23"/>
    </row>
    <row r="76" spans="1:10" x14ac:dyDescent="0.3">
      <c r="A76" s="17">
        <v>45610</v>
      </c>
      <c r="B76" s="18" t="s">
        <v>66</v>
      </c>
      <c r="C76" s="18" t="s">
        <v>9</v>
      </c>
      <c r="D76" s="18" t="s">
        <v>68</v>
      </c>
      <c r="E76" s="18" t="s">
        <v>67</v>
      </c>
      <c r="F76" s="18" t="s">
        <v>69</v>
      </c>
      <c r="G76" s="20" t="s">
        <v>70</v>
      </c>
      <c r="H76" s="20" t="s">
        <v>89</v>
      </c>
    </row>
    <row r="77" spans="1:10" ht="15.6" x14ac:dyDescent="0.3">
      <c r="A77" s="18" t="s">
        <v>94</v>
      </c>
      <c r="B77" s="113">
        <v>214.38</v>
      </c>
      <c r="C77" s="113" t="s">
        <v>53</v>
      </c>
      <c r="D77" s="12">
        <v>1E-3</v>
      </c>
      <c r="E77" s="10">
        <v>1</v>
      </c>
      <c r="F77" s="12">
        <f>E77*D77*$B$2</f>
        <v>0.21437999999999999</v>
      </c>
      <c r="G77" s="12">
        <v>0.21659999999999999</v>
      </c>
      <c r="H77" s="12">
        <f>G77/(D77*$B$2)</f>
        <v>1.0103554436048139</v>
      </c>
    </row>
    <row r="78" spans="1:10" ht="15.6" x14ac:dyDescent="0.3">
      <c r="A78" s="18" t="s">
        <v>95</v>
      </c>
      <c r="B78" s="117"/>
      <c r="C78" s="114"/>
      <c r="D78" s="12">
        <v>2E-3</v>
      </c>
      <c r="E78" s="10">
        <v>1</v>
      </c>
      <c r="F78" s="12">
        <f>E78*D78*$B$2</f>
        <v>0.42875999999999997</v>
      </c>
      <c r="G78" s="12">
        <v>0.42870000000000003</v>
      </c>
      <c r="H78" s="12">
        <f>G78/(D78*$B$2)</f>
        <v>0.99986006157290808</v>
      </c>
    </row>
    <row r="79" spans="1:10" ht="15.6" x14ac:dyDescent="0.3">
      <c r="A79" s="18" t="s">
        <v>96</v>
      </c>
      <c r="B79" s="117"/>
      <c r="C79" s="10" t="s">
        <v>20</v>
      </c>
      <c r="D79" s="12">
        <v>2E-3</v>
      </c>
      <c r="E79" s="10">
        <v>1</v>
      </c>
      <c r="F79" s="12">
        <f>E79*D79*$B$2</f>
        <v>0.42875999999999997</v>
      </c>
      <c r="G79" s="12">
        <v>0.43070000000000003</v>
      </c>
      <c r="H79" s="12">
        <f>G79/(D79*$B$2)</f>
        <v>1.0045246758093107</v>
      </c>
    </row>
    <row r="80" spans="1:10" ht="15.6" x14ac:dyDescent="0.3">
      <c r="A80" s="18" t="s">
        <v>97</v>
      </c>
      <c r="B80" s="114"/>
      <c r="C80" s="10" t="s">
        <v>81</v>
      </c>
      <c r="D80" s="12">
        <v>1E-3</v>
      </c>
      <c r="E80" s="10">
        <v>1</v>
      </c>
      <c r="F80" s="12">
        <f>E80*D80*$B$2</f>
        <v>0.21437999999999999</v>
      </c>
      <c r="G80" s="12">
        <v>0.2147</v>
      </c>
      <c r="H80" s="12">
        <f>G80/(D80*$B$2)</f>
        <v>1.0014926765556489</v>
      </c>
    </row>
    <row r="82" spans="1:22" x14ac:dyDescent="0.3">
      <c r="A82" s="17">
        <v>45610</v>
      </c>
      <c r="B82" s="18" t="s">
        <v>66</v>
      </c>
      <c r="C82" s="18" t="s">
        <v>9</v>
      </c>
      <c r="D82" s="18" t="s">
        <v>68</v>
      </c>
      <c r="E82" s="18" t="s">
        <v>67</v>
      </c>
      <c r="F82" s="18" t="s">
        <v>69</v>
      </c>
      <c r="G82" s="20" t="s">
        <v>70</v>
      </c>
      <c r="H82" s="20" t="s">
        <v>89</v>
      </c>
    </row>
    <row r="83" spans="1:22" ht="15.6" x14ac:dyDescent="0.3">
      <c r="A83" s="18" t="s">
        <v>100</v>
      </c>
      <c r="B83" s="113">
        <v>107.11</v>
      </c>
      <c r="C83" s="10" t="s">
        <v>53</v>
      </c>
      <c r="D83" s="13">
        <v>5.0000000000000001E-3</v>
      </c>
      <c r="E83" s="11">
        <v>0.5</v>
      </c>
      <c r="F83" s="13">
        <f>E83*D83*$B$10</f>
        <v>0.26777499999999999</v>
      </c>
      <c r="G83" s="13">
        <v>0.26829999999999998</v>
      </c>
      <c r="H83" s="12">
        <f>G83/($B$10*D83)</f>
        <v>0.50098030062552512</v>
      </c>
    </row>
    <row r="84" spans="1:22" ht="15.6" x14ac:dyDescent="0.3">
      <c r="A84" s="18" t="s">
        <v>101</v>
      </c>
      <c r="B84" s="117"/>
      <c r="C84" s="10" t="s">
        <v>81</v>
      </c>
      <c r="D84" s="13">
        <v>5.0000000000000001E-3</v>
      </c>
      <c r="E84" s="11">
        <v>0.5</v>
      </c>
      <c r="F84" s="13">
        <f>E84*D84*$B$10</f>
        <v>0.26777499999999999</v>
      </c>
      <c r="G84" s="13">
        <v>0.26829999999999998</v>
      </c>
      <c r="H84" s="12">
        <f>G84/($B$10*D84)</f>
        <v>0.50098030062552512</v>
      </c>
      <c r="V84" s="21"/>
    </row>
    <row r="85" spans="1:22" ht="15.6" x14ac:dyDescent="0.3">
      <c r="A85" s="18" t="s">
        <v>102</v>
      </c>
      <c r="B85" s="114"/>
      <c r="C85" s="10" t="s">
        <v>20</v>
      </c>
      <c r="D85" s="13">
        <v>5.0000000000000001E-3</v>
      </c>
      <c r="E85" s="11">
        <v>0.5</v>
      </c>
      <c r="F85" s="13">
        <f>E85*D85*$B$10</f>
        <v>0.26777499999999999</v>
      </c>
      <c r="G85" s="13">
        <v>0.2676</v>
      </c>
      <c r="H85" s="12">
        <f>G85/($B$10*D85)</f>
        <v>0.49967323312482498</v>
      </c>
      <c r="V85" s="21"/>
    </row>
    <row r="86" spans="1:22" x14ac:dyDescent="0.3">
      <c r="V86" s="21"/>
    </row>
    <row r="87" spans="1:22" x14ac:dyDescent="0.3">
      <c r="A87" s="17">
        <v>45610</v>
      </c>
      <c r="B87" s="115" t="s">
        <v>87</v>
      </c>
      <c r="C87" s="115"/>
      <c r="D87" s="108" t="s">
        <v>88</v>
      </c>
      <c r="E87" s="108"/>
      <c r="F87" s="109" t="s">
        <v>9</v>
      </c>
      <c r="G87" s="109"/>
      <c r="H87" s="110" t="s">
        <v>90</v>
      </c>
      <c r="I87" s="111"/>
      <c r="J87" s="112"/>
    </row>
    <row r="88" spans="1:22" ht="43.2" x14ac:dyDescent="0.3">
      <c r="A88" s="19" t="s">
        <v>83</v>
      </c>
      <c r="B88" s="19" t="s">
        <v>85</v>
      </c>
      <c r="C88" s="19" t="s">
        <v>84</v>
      </c>
      <c r="D88" s="19" t="s">
        <v>86</v>
      </c>
      <c r="E88" s="19" t="s">
        <v>84</v>
      </c>
      <c r="F88" s="19" t="s">
        <v>9</v>
      </c>
      <c r="G88" s="19" t="s">
        <v>84</v>
      </c>
      <c r="H88" s="19" t="s">
        <v>91</v>
      </c>
      <c r="I88" s="19" t="s">
        <v>92</v>
      </c>
      <c r="J88" s="22" t="s">
        <v>93</v>
      </c>
    </row>
    <row r="89" spans="1:22" ht="15.6" x14ac:dyDescent="0.3">
      <c r="A89" s="18">
        <v>6</v>
      </c>
      <c r="B89" s="10" t="s">
        <v>72</v>
      </c>
      <c r="C89" s="10">
        <v>2</v>
      </c>
      <c r="D89" s="10" t="s">
        <v>77</v>
      </c>
      <c r="E89" s="10">
        <v>2</v>
      </c>
      <c r="F89" s="10" t="s">
        <v>53</v>
      </c>
      <c r="G89" s="10">
        <v>0</v>
      </c>
      <c r="H89" s="13">
        <f>H78*C89/(C89+E89+G89)</f>
        <v>0.49993003078645404</v>
      </c>
      <c r="I89" s="13">
        <f>H83*E89/(C89+G89+E89)</f>
        <v>0.25049015031276256</v>
      </c>
      <c r="J89" s="15">
        <f>I89/H89</f>
        <v>0.50105041683275042</v>
      </c>
    </row>
    <row r="90" spans="1:22" ht="15.6" x14ac:dyDescent="0.3">
      <c r="A90" s="18">
        <v>22</v>
      </c>
      <c r="B90" s="10" t="s">
        <v>74</v>
      </c>
      <c r="C90" s="10">
        <v>1</v>
      </c>
      <c r="D90" s="10" t="s">
        <v>78</v>
      </c>
      <c r="E90" s="10">
        <v>3</v>
      </c>
      <c r="F90" s="10" t="s">
        <v>81</v>
      </c>
      <c r="G90" s="10">
        <v>6</v>
      </c>
      <c r="H90" s="13">
        <f>H80*C90/(C90+E90+G90)</f>
        <v>0.10014926765556489</v>
      </c>
      <c r="I90" s="13">
        <f>H84*E90/(C90+G90+E90)</f>
        <v>0.15029409018765755</v>
      </c>
      <c r="J90" s="15">
        <f>I90/H90</f>
        <v>1.5007008409143001</v>
      </c>
    </row>
    <row r="91" spans="1:22" ht="15.6" x14ac:dyDescent="0.3">
      <c r="A91" s="18">
        <v>2</v>
      </c>
      <c r="B91" s="10" t="s">
        <v>71</v>
      </c>
      <c r="C91" s="10">
        <v>1</v>
      </c>
      <c r="D91" s="10" t="s">
        <v>77</v>
      </c>
      <c r="E91" s="10">
        <v>3</v>
      </c>
      <c r="F91" s="10" t="s">
        <v>53</v>
      </c>
      <c r="G91" s="10">
        <v>6</v>
      </c>
      <c r="H91" s="13">
        <f>H77*C91/(C91+E91+G91)</f>
        <v>0.10103554436048139</v>
      </c>
      <c r="I91" s="13">
        <f>H83*E91/(C91+G91+E91)</f>
        <v>0.15029409018765755</v>
      </c>
      <c r="J91" s="15">
        <f>I91/H91</f>
        <v>1.4875367984501398</v>
      </c>
    </row>
    <row r="92" spans="1:22" ht="15.6" x14ac:dyDescent="0.3">
      <c r="A92" s="18">
        <v>17</v>
      </c>
      <c r="B92" s="10" t="s">
        <v>73</v>
      </c>
      <c r="C92" s="10">
        <v>2</v>
      </c>
      <c r="D92" s="10" t="s">
        <v>79</v>
      </c>
      <c r="E92" s="10">
        <v>2</v>
      </c>
      <c r="F92" s="11" t="s">
        <v>20</v>
      </c>
      <c r="G92" s="10">
        <v>0</v>
      </c>
      <c r="H92" s="13">
        <f>H79*C92/(C92+E92+G92)</f>
        <v>0.50226233790465535</v>
      </c>
      <c r="I92" s="13">
        <f>H85*E92/(C92+G92+E92)</f>
        <v>0.24983661656241249</v>
      </c>
      <c r="J92" s="15">
        <f>I92/H92</f>
        <v>0.49742255731274654</v>
      </c>
    </row>
    <row r="94" spans="1:22" ht="15" thickBot="1" x14ac:dyDescent="0.35">
      <c r="A94" s="16"/>
      <c r="B94" s="16"/>
      <c r="C94" s="16"/>
      <c r="D94" s="16"/>
      <c r="E94" s="16"/>
      <c r="F94" s="16"/>
      <c r="G94" s="16"/>
      <c r="H94" s="16"/>
      <c r="I94" s="16"/>
      <c r="J94" s="23"/>
    </row>
    <row r="97" spans="1:10" x14ac:dyDescent="0.3">
      <c r="A97" s="17" t="s">
        <v>109</v>
      </c>
      <c r="B97" s="18" t="s">
        <v>66</v>
      </c>
      <c r="C97" s="18" t="s">
        <v>9</v>
      </c>
      <c r="D97" s="18" t="s">
        <v>68</v>
      </c>
      <c r="E97" s="18" t="s">
        <v>67</v>
      </c>
      <c r="F97" s="18" t="s">
        <v>69</v>
      </c>
      <c r="G97" s="20" t="s">
        <v>70</v>
      </c>
      <c r="H97" s="20" t="s">
        <v>89</v>
      </c>
    </row>
    <row r="98" spans="1:10" ht="15.6" x14ac:dyDescent="0.3">
      <c r="A98" s="18" t="s">
        <v>94</v>
      </c>
      <c r="B98" s="113">
        <v>214.38</v>
      </c>
      <c r="C98" s="10" t="s">
        <v>20</v>
      </c>
      <c r="D98" s="12">
        <v>1E-3</v>
      </c>
      <c r="E98" s="10">
        <v>1</v>
      </c>
      <c r="F98" s="12">
        <f>E98*D98*$B$2</f>
        <v>0.21437999999999999</v>
      </c>
      <c r="G98" s="12">
        <v>0.21709999999999999</v>
      </c>
      <c r="H98" s="12">
        <f>G98/(D98*$B$2)</f>
        <v>1.0126877507230152</v>
      </c>
    </row>
    <row r="99" spans="1:10" ht="15.6" x14ac:dyDescent="0.3">
      <c r="A99" s="18" t="s">
        <v>95</v>
      </c>
      <c r="B99" s="117"/>
      <c r="C99" s="117" t="s">
        <v>81</v>
      </c>
      <c r="D99" s="12">
        <v>1E-3</v>
      </c>
      <c r="E99" s="10">
        <v>1</v>
      </c>
      <c r="F99" s="12">
        <f>E99*D99*$B$2</f>
        <v>0.21437999999999999</v>
      </c>
      <c r="G99" s="12">
        <v>0.2145</v>
      </c>
      <c r="H99" s="12">
        <f>G99/(D99*$B$2)</f>
        <v>1.0005597537083684</v>
      </c>
    </row>
    <row r="100" spans="1:10" ht="15.6" x14ac:dyDescent="0.3">
      <c r="A100" s="18" t="s">
        <v>96</v>
      </c>
      <c r="B100" s="117"/>
      <c r="C100" s="117"/>
      <c r="D100" s="12">
        <v>1E-3</v>
      </c>
      <c r="E100" s="10">
        <v>1</v>
      </c>
      <c r="F100" s="12">
        <f>E100*D100*$B$2</f>
        <v>0.21437999999999999</v>
      </c>
      <c r="G100" s="12">
        <v>0.21629999999999999</v>
      </c>
      <c r="H100" s="12">
        <f>G100/(D100*$B$2)</f>
        <v>1.0089560593338931</v>
      </c>
    </row>
    <row r="101" spans="1:10" ht="15.6" x14ac:dyDescent="0.3">
      <c r="A101" s="18" t="s">
        <v>97</v>
      </c>
      <c r="B101" s="114"/>
      <c r="C101" s="114"/>
      <c r="D101" s="12">
        <v>1E-3</v>
      </c>
      <c r="E101" s="10">
        <v>1</v>
      </c>
      <c r="F101" s="12">
        <f>E101*D101*$B$2</f>
        <v>0.21437999999999999</v>
      </c>
      <c r="G101" s="12">
        <v>0.21460000000000001</v>
      </c>
      <c r="H101" s="12">
        <f>G101/(D101*$B$2)</f>
        <v>1.0010262151320086</v>
      </c>
    </row>
    <row r="103" spans="1:10" x14ac:dyDescent="0.3">
      <c r="A103" s="17" t="s">
        <v>109</v>
      </c>
      <c r="B103" s="18" t="s">
        <v>66</v>
      </c>
      <c r="C103" s="18" t="s">
        <v>9</v>
      </c>
      <c r="D103" s="18" t="s">
        <v>68</v>
      </c>
      <c r="E103" s="18" t="s">
        <v>67</v>
      </c>
      <c r="F103" s="18" t="s">
        <v>69</v>
      </c>
      <c r="G103" s="20" t="s">
        <v>70</v>
      </c>
      <c r="H103" s="20" t="s">
        <v>89</v>
      </c>
    </row>
    <row r="104" spans="1:10" ht="15.6" x14ac:dyDescent="0.3">
      <c r="A104" s="18" t="s">
        <v>100</v>
      </c>
      <c r="B104" s="113">
        <v>107.11</v>
      </c>
      <c r="C104" s="10" t="s">
        <v>81</v>
      </c>
      <c r="D104" s="13">
        <v>0.01</v>
      </c>
      <c r="E104" s="11">
        <v>0.5</v>
      </c>
      <c r="F104" s="13">
        <f>E104*D104*$B$10</f>
        <v>0.53554999999999997</v>
      </c>
      <c r="G104" s="13">
        <v>0.53600000000000003</v>
      </c>
      <c r="H104" s="12">
        <f>G104/($B$10*D104)</f>
        <v>0.50042012883951081</v>
      </c>
    </row>
    <row r="105" spans="1:10" ht="15.6" x14ac:dyDescent="0.3">
      <c r="A105" s="18" t="s">
        <v>101</v>
      </c>
      <c r="B105" s="114"/>
      <c r="C105" s="10" t="s">
        <v>20</v>
      </c>
      <c r="D105" s="13">
        <v>5.0000000000000001E-3</v>
      </c>
      <c r="E105" s="11">
        <v>0.5</v>
      </c>
      <c r="F105" s="13">
        <f>E105*D105*$B$10</f>
        <v>0.26777499999999999</v>
      </c>
      <c r="G105" s="13">
        <v>0.26819999999999999</v>
      </c>
      <c r="H105" s="12">
        <f>G105/($B$10*D105)</f>
        <v>0.50079357669685376</v>
      </c>
    </row>
    <row r="107" spans="1:10" x14ac:dyDescent="0.3">
      <c r="A107" s="17" t="s">
        <v>109</v>
      </c>
      <c r="B107" s="115" t="s">
        <v>87</v>
      </c>
      <c r="C107" s="115"/>
      <c r="D107" s="108" t="s">
        <v>88</v>
      </c>
      <c r="E107" s="108"/>
      <c r="F107" s="109" t="s">
        <v>9</v>
      </c>
      <c r="G107" s="109"/>
      <c r="H107" s="110" t="s">
        <v>90</v>
      </c>
      <c r="I107" s="111"/>
      <c r="J107" s="112"/>
    </row>
    <row r="108" spans="1:10" ht="43.2" x14ac:dyDescent="0.3">
      <c r="A108" s="19" t="s">
        <v>83</v>
      </c>
      <c r="B108" s="19" t="s">
        <v>85</v>
      </c>
      <c r="C108" s="19" t="s">
        <v>84</v>
      </c>
      <c r="D108" s="19" t="s">
        <v>86</v>
      </c>
      <c r="E108" s="19" t="s">
        <v>84</v>
      </c>
      <c r="F108" s="19" t="s">
        <v>9</v>
      </c>
      <c r="G108" s="19" t="s">
        <v>84</v>
      </c>
      <c r="H108" s="19" t="s">
        <v>91</v>
      </c>
      <c r="I108" s="19" t="s">
        <v>92</v>
      </c>
      <c r="J108" s="22" t="s">
        <v>93</v>
      </c>
    </row>
    <row r="109" spans="1:10" ht="15.6" x14ac:dyDescent="0.3">
      <c r="A109" s="18">
        <v>21</v>
      </c>
      <c r="B109" s="10" t="s">
        <v>71</v>
      </c>
      <c r="C109" s="10">
        <v>1</v>
      </c>
      <c r="D109" s="10" t="s">
        <v>78</v>
      </c>
      <c r="E109" s="10">
        <v>2</v>
      </c>
      <c r="F109" s="10" t="s">
        <v>20</v>
      </c>
      <c r="G109" s="10">
        <v>1</v>
      </c>
      <c r="H109" s="13">
        <f>H98*C109/(C109+E109+G109)</f>
        <v>0.2531719376807538</v>
      </c>
      <c r="I109" s="13">
        <f>H105*E109/(C109+G109+E109)</f>
        <v>0.25039678834842688</v>
      </c>
      <c r="J109" s="15">
        <f>I109/H109</f>
        <v>0.9890384797077062</v>
      </c>
    </row>
    <row r="110" spans="1:10" ht="15.6" x14ac:dyDescent="0.3">
      <c r="A110" s="18">
        <v>32</v>
      </c>
      <c r="B110" s="10" t="s">
        <v>72</v>
      </c>
      <c r="C110" s="10">
        <v>1</v>
      </c>
      <c r="D110" s="10" t="s">
        <v>77</v>
      </c>
      <c r="E110" s="10">
        <v>2</v>
      </c>
      <c r="F110" s="10" t="s">
        <v>81</v>
      </c>
      <c r="G110" s="10">
        <v>1</v>
      </c>
      <c r="H110" s="13">
        <f>H99*C110/(C110+E110+G110)</f>
        <v>0.25013993842709209</v>
      </c>
      <c r="I110" s="13">
        <f>H104*E110/(C110+G110+E110)</f>
        <v>0.25021006441975541</v>
      </c>
      <c r="J110" s="15">
        <f>I110/H110</f>
        <v>1.000280347045355</v>
      </c>
    </row>
    <row r="111" spans="1:10" ht="15.6" x14ac:dyDescent="0.3">
      <c r="A111" s="18">
        <v>33</v>
      </c>
      <c r="B111" s="10" t="s">
        <v>73</v>
      </c>
      <c r="C111" s="10">
        <v>1</v>
      </c>
      <c r="D111" s="10" t="s">
        <v>77</v>
      </c>
      <c r="E111" s="10">
        <v>2</v>
      </c>
      <c r="F111" s="10" t="s">
        <v>81</v>
      </c>
      <c r="G111" s="10">
        <v>1</v>
      </c>
      <c r="H111" s="13">
        <f>H100*C111/(C111+E111+G111)</f>
        <v>0.25223901483347327</v>
      </c>
      <c r="I111" s="13">
        <f>H104*E111/(C111+G111+E111)</f>
        <v>0.25021006441975541</v>
      </c>
      <c r="J111" s="15">
        <f>I111/H111</f>
        <v>0.99195623874816763</v>
      </c>
    </row>
    <row r="112" spans="1:10" ht="15.6" x14ac:dyDescent="0.3">
      <c r="A112" s="18">
        <v>34</v>
      </c>
      <c r="B112" s="10" t="s">
        <v>74</v>
      </c>
      <c r="C112" s="10">
        <v>1</v>
      </c>
      <c r="D112" s="10" t="s">
        <v>77</v>
      </c>
      <c r="E112" s="10">
        <v>2</v>
      </c>
      <c r="F112" s="10" t="s">
        <v>81</v>
      </c>
      <c r="G112" s="10">
        <v>1</v>
      </c>
      <c r="H112" s="13">
        <f>H101*C112/(C112+E112+G112)</f>
        <v>0.25025655378300216</v>
      </c>
      <c r="I112" s="13">
        <f>H104*E112/(C112+G112+E112)</f>
        <v>0.25021006441975541</v>
      </c>
      <c r="J112" s="15">
        <f>I112/H112</f>
        <v>0.99981423318373086</v>
      </c>
    </row>
    <row r="114" spans="1:10" ht="15" thickBot="1" x14ac:dyDescent="0.35">
      <c r="A114" s="16"/>
      <c r="B114" s="16"/>
      <c r="C114" s="16"/>
      <c r="D114" s="16"/>
      <c r="E114" s="16"/>
      <c r="F114" s="16"/>
      <c r="G114" s="16"/>
      <c r="H114" s="16"/>
      <c r="I114" s="16"/>
      <c r="J114" s="23"/>
    </row>
    <row r="117" spans="1:10" x14ac:dyDescent="0.3">
      <c r="A117" s="17" t="s">
        <v>110</v>
      </c>
      <c r="B117" s="18" t="s">
        <v>66</v>
      </c>
      <c r="C117" s="18" t="s">
        <v>9</v>
      </c>
      <c r="D117" s="18" t="s">
        <v>68</v>
      </c>
      <c r="E117" s="18" t="s">
        <v>67</v>
      </c>
      <c r="F117" s="18" t="s">
        <v>69</v>
      </c>
      <c r="G117" s="20" t="s">
        <v>70</v>
      </c>
      <c r="H117" s="20" t="s">
        <v>89</v>
      </c>
    </row>
    <row r="118" spans="1:10" ht="15.6" x14ac:dyDescent="0.3">
      <c r="A118" s="18" t="s">
        <v>94</v>
      </c>
      <c r="B118" s="113">
        <v>214.38</v>
      </c>
      <c r="C118" s="116" t="s">
        <v>20</v>
      </c>
      <c r="D118" s="12">
        <v>1E-3</v>
      </c>
      <c r="E118" s="10">
        <v>1</v>
      </c>
      <c r="F118" s="12">
        <f>E118*D118*$B$2</f>
        <v>0.21437999999999999</v>
      </c>
      <c r="G118" s="12">
        <v>0.21510000000000001</v>
      </c>
      <c r="H118" s="12">
        <f>G118/(D118*$B$2)</f>
        <v>1.0033585222502099</v>
      </c>
    </row>
    <row r="119" spans="1:10" ht="15.6" x14ac:dyDescent="0.3">
      <c r="A119" s="18" t="s">
        <v>95</v>
      </c>
      <c r="B119" s="117"/>
      <c r="C119" s="116"/>
      <c r="D119" s="12">
        <v>2E-3</v>
      </c>
      <c r="E119" s="10">
        <v>1</v>
      </c>
      <c r="F119" s="12">
        <f>E119*D119*$B$2</f>
        <v>0.42875999999999997</v>
      </c>
      <c r="G119" s="12">
        <v>0.4289</v>
      </c>
      <c r="H119" s="12">
        <f>G119/(D119*$B$2)</f>
        <v>1.0003265229965483</v>
      </c>
    </row>
    <row r="120" spans="1:10" ht="15.6" x14ac:dyDescent="0.3">
      <c r="A120" s="18" t="s">
        <v>96</v>
      </c>
      <c r="B120" s="117"/>
      <c r="C120" s="10" t="s">
        <v>81</v>
      </c>
      <c r="D120" s="12">
        <v>2E-3</v>
      </c>
      <c r="E120" s="10">
        <v>1</v>
      </c>
      <c r="F120" s="12">
        <f>E120*D120*$B$2</f>
        <v>0.42875999999999997</v>
      </c>
      <c r="G120" s="12">
        <v>0.42920000000000003</v>
      </c>
      <c r="H120" s="12">
        <f>G120/(D120*$B$2)</f>
        <v>1.0010262151320086</v>
      </c>
    </row>
    <row r="121" spans="1:10" ht="15.6" x14ac:dyDescent="0.3">
      <c r="A121" s="18" t="s">
        <v>97</v>
      </c>
      <c r="B121" s="114"/>
      <c r="C121" s="10" t="s">
        <v>53</v>
      </c>
      <c r="D121" s="12">
        <v>1E-3</v>
      </c>
      <c r="E121" s="10">
        <v>1</v>
      </c>
      <c r="F121" s="12">
        <f>E121*D121*$B$2</f>
        <v>0.21437999999999999</v>
      </c>
      <c r="G121" s="12">
        <v>0.21529999999999999</v>
      </c>
      <c r="H121" s="12">
        <f>G121/(D121*$B$2)</f>
        <v>1.0042914450974905</v>
      </c>
    </row>
    <row r="123" spans="1:10" x14ac:dyDescent="0.3">
      <c r="A123" s="17" t="s">
        <v>110</v>
      </c>
      <c r="B123" s="18" t="s">
        <v>66</v>
      </c>
      <c r="C123" s="18" t="s">
        <v>9</v>
      </c>
      <c r="D123" s="18" t="s">
        <v>68</v>
      </c>
      <c r="E123" s="18" t="s">
        <v>67</v>
      </c>
      <c r="F123" s="18" t="s">
        <v>69</v>
      </c>
      <c r="G123" s="20" t="s">
        <v>70</v>
      </c>
      <c r="H123" s="20" t="s">
        <v>89</v>
      </c>
    </row>
    <row r="124" spans="1:10" ht="15.6" x14ac:dyDescent="0.3">
      <c r="A124" s="18" t="s">
        <v>100</v>
      </c>
      <c r="B124" s="113">
        <v>107.11</v>
      </c>
      <c r="C124" s="116" t="s">
        <v>20</v>
      </c>
      <c r="D124" s="13">
        <v>2E-3</v>
      </c>
      <c r="E124" s="11">
        <v>0.5</v>
      </c>
      <c r="F124" s="13">
        <f>E124*D124*$B$10</f>
        <v>0.10711</v>
      </c>
      <c r="G124" s="13">
        <v>0.10780000000000001</v>
      </c>
      <c r="H124" s="12">
        <f>G124/($B$10*D124)</f>
        <v>0.50322098776958268</v>
      </c>
    </row>
    <row r="125" spans="1:10" ht="15.6" x14ac:dyDescent="0.3">
      <c r="A125" s="18" t="s">
        <v>101</v>
      </c>
      <c r="B125" s="117"/>
      <c r="C125" s="116"/>
      <c r="D125" s="13">
        <v>2E-3</v>
      </c>
      <c r="E125" s="11">
        <v>1.5</v>
      </c>
      <c r="F125" s="13">
        <f>E125*D125*$B$10</f>
        <v>0.32133</v>
      </c>
      <c r="G125" s="13">
        <v>0.32140000000000002</v>
      </c>
      <c r="H125" s="12">
        <f>G125/($B$10*D125)</f>
        <v>1.5003267668751752</v>
      </c>
    </row>
    <row r="126" spans="1:10" ht="15.6" x14ac:dyDescent="0.3">
      <c r="A126" s="18" t="s">
        <v>102</v>
      </c>
      <c r="B126" s="117"/>
      <c r="C126" s="10" t="s">
        <v>81</v>
      </c>
      <c r="D126" s="13">
        <v>2E-3</v>
      </c>
      <c r="E126" s="11">
        <v>0.5</v>
      </c>
      <c r="F126" s="13">
        <f>E126*D126*$B$10</f>
        <v>0.10711</v>
      </c>
      <c r="G126" s="13">
        <v>0.1077</v>
      </c>
      <c r="H126" s="12">
        <f>G126/($B$10*D126)</f>
        <v>0.50275417794790411</v>
      </c>
    </row>
    <row r="127" spans="1:10" ht="15.6" x14ac:dyDescent="0.3">
      <c r="A127" s="18" t="s">
        <v>103</v>
      </c>
      <c r="B127" s="114"/>
      <c r="C127" s="10" t="s">
        <v>53</v>
      </c>
      <c r="D127" s="13">
        <v>5.0000000000000001E-3</v>
      </c>
      <c r="E127" s="11">
        <v>0.5</v>
      </c>
      <c r="F127" s="13">
        <f>E127*D127*$B$10</f>
        <v>0.26777499999999999</v>
      </c>
      <c r="G127" s="13">
        <v>0.2676</v>
      </c>
      <c r="H127" s="12">
        <f>G127/($B$10*D127)</f>
        <v>0.49967323312482498</v>
      </c>
    </row>
    <row r="129" spans="1:10" x14ac:dyDescent="0.3">
      <c r="A129" s="17" t="s">
        <v>110</v>
      </c>
      <c r="B129" s="115" t="s">
        <v>87</v>
      </c>
      <c r="C129" s="115"/>
      <c r="D129" s="108" t="s">
        <v>88</v>
      </c>
      <c r="E129" s="108"/>
      <c r="F129" s="109" t="s">
        <v>9</v>
      </c>
      <c r="G129" s="109"/>
      <c r="H129" s="110" t="s">
        <v>90</v>
      </c>
      <c r="I129" s="111"/>
      <c r="J129" s="112"/>
    </row>
    <row r="130" spans="1:10" ht="43.2" x14ac:dyDescent="0.3">
      <c r="A130" s="19" t="s">
        <v>83</v>
      </c>
      <c r="B130" s="19" t="s">
        <v>85</v>
      </c>
      <c r="C130" s="19" t="s">
        <v>84</v>
      </c>
      <c r="D130" s="19" t="s">
        <v>86</v>
      </c>
      <c r="E130" s="19" t="s">
        <v>84</v>
      </c>
      <c r="F130" s="19" t="s">
        <v>9</v>
      </c>
      <c r="G130" s="19" t="s">
        <v>84</v>
      </c>
      <c r="H130" s="19" t="s">
        <v>91</v>
      </c>
      <c r="I130" s="19" t="s">
        <v>92</v>
      </c>
      <c r="J130" s="22" t="s">
        <v>93</v>
      </c>
    </row>
    <row r="131" spans="1:10" ht="15.6" x14ac:dyDescent="0.3">
      <c r="A131" s="18">
        <v>13</v>
      </c>
      <c r="B131" s="10" t="s">
        <v>71</v>
      </c>
      <c r="C131" s="10">
        <v>1</v>
      </c>
      <c r="D131" s="10" t="s">
        <v>77</v>
      </c>
      <c r="E131" s="10">
        <v>2</v>
      </c>
      <c r="F131" s="10" t="s">
        <v>20</v>
      </c>
      <c r="G131" s="10">
        <v>8</v>
      </c>
      <c r="H131" s="13">
        <f>H118*C131/(C131+E131+G131)</f>
        <v>9.1214411113655455E-2</v>
      </c>
      <c r="I131" s="13">
        <f>H124*E131/(C131+G131+E131)</f>
        <v>9.1494725049015027E-2</v>
      </c>
      <c r="J131" s="15">
        <f>I131/H131</f>
        <v>1.0030731321063981</v>
      </c>
    </row>
    <row r="132" spans="1:10" ht="15.6" x14ac:dyDescent="0.3">
      <c r="A132" s="18">
        <v>18</v>
      </c>
      <c r="B132" s="10" t="s">
        <v>72</v>
      </c>
      <c r="C132" s="10">
        <v>2</v>
      </c>
      <c r="D132" s="10" t="s">
        <v>78</v>
      </c>
      <c r="E132" s="10">
        <v>2</v>
      </c>
      <c r="F132" s="10" t="s">
        <v>81</v>
      </c>
      <c r="G132" s="10">
        <v>0</v>
      </c>
      <c r="H132" s="13">
        <f>H119*C132/(C132+E132+G132)</f>
        <v>0.50016326149827417</v>
      </c>
      <c r="I132" s="13">
        <f>H125*E132/(C132+G132+E132)</f>
        <v>0.75016338343758759</v>
      </c>
      <c r="J132" s="15">
        <f>I132/H132</f>
        <v>1.4998370355919795</v>
      </c>
    </row>
    <row r="133" spans="1:10" ht="15.6" x14ac:dyDescent="0.3">
      <c r="A133" s="18">
        <v>29</v>
      </c>
      <c r="B133" s="10" t="s">
        <v>73</v>
      </c>
      <c r="C133" s="10">
        <v>2</v>
      </c>
      <c r="D133" s="10" t="s">
        <v>79</v>
      </c>
      <c r="E133" s="10">
        <v>2</v>
      </c>
      <c r="F133" s="10" t="s">
        <v>81</v>
      </c>
      <c r="G133" s="10">
        <v>0</v>
      </c>
      <c r="H133" s="13">
        <f>H120*C133/(C133+E133+G133)</f>
        <v>0.50051310756600431</v>
      </c>
      <c r="I133" s="13">
        <f>H126*E133/(C133+G133+E133)</f>
        <v>0.25137708897395206</v>
      </c>
      <c r="J133" s="15">
        <f>I133/H133</f>
        <v>0.5022387729192529</v>
      </c>
    </row>
    <row r="134" spans="1:10" ht="15.6" x14ac:dyDescent="0.3">
      <c r="A134" s="18">
        <v>3</v>
      </c>
      <c r="B134" s="10" t="s">
        <v>74</v>
      </c>
      <c r="C134" s="10">
        <v>1</v>
      </c>
      <c r="D134" s="10" t="s">
        <v>80</v>
      </c>
      <c r="E134" s="10">
        <v>3</v>
      </c>
      <c r="F134" s="10" t="s">
        <v>81</v>
      </c>
      <c r="G134" s="10">
        <v>6</v>
      </c>
      <c r="H134" s="13">
        <f>H121*C134/(C134+E134+G134)</f>
        <v>0.10042914450974905</v>
      </c>
      <c r="I134" s="13">
        <f>H127*E134/(C134+G134+E134)</f>
        <v>0.14990196993744748</v>
      </c>
      <c r="J134" s="15">
        <f>I134/H134</f>
        <v>1.4926142273660004</v>
      </c>
    </row>
    <row r="136" spans="1:10" ht="15" thickBot="1" x14ac:dyDescent="0.35">
      <c r="A136" s="16"/>
      <c r="B136" s="16"/>
      <c r="C136" s="16"/>
      <c r="D136" s="16"/>
      <c r="E136" s="16"/>
      <c r="F136" s="16"/>
      <c r="G136" s="16"/>
      <c r="H136" s="16"/>
      <c r="I136" s="16"/>
      <c r="J136" s="23"/>
    </row>
    <row r="139" spans="1:10" x14ac:dyDescent="0.3">
      <c r="A139" s="17">
        <v>45616</v>
      </c>
      <c r="B139" s="18" t="s">
        <v>66</v>
      </c>
      <c r="C139" s="18" t="s">
        <v>9</v>
      </c>
      <c r="D139" s="18" t="s">
        <v>68</v>
      </c>
      <c r="E139" s="18" t="s">
        <v>67</v>
      </c>
      <c r="F139" s="18" t="s">
        <v>69</v>
      </c>
      <c r="G139" s="20" t="s">
        <v>70</v>
      </c>
      <c r="H139" s="20" t="s">
        <v>89</v>
      </c>
    </row>
    <row r="140" spans="1:10" ht="15.6" x14ac:dyDescent="0.3">
      <c r="A140" s="18" t="s">
        <v>94</v>
      </c>
      <c r="B140" s="113">
        <v>214.38</v>
      </c>
      <c r="C140" s="116" t="s">
        <v>53</v>
      </c>
      <c r="D140" s="12">
        <v>1E-3</v>
      </c>
      <c r="E140" s="10">
        <v>1</v>
      </c>
      <c r="F140" s="12">
        <f>E140*D140*$B$2</f>
        <v>0.21437999999999999</v>
      </c>
      <c r="G140" s="12">
        <v>0.21510000000000001</v>
      </c>
      <c r="H140" s="12">
        <f>G140/(D140*$B$2)</f>
        <v>1.0033585222502099</v>
      </c>
    </row>
    <row r="141" spans="1:10" ht="15.6" x14ac:dyDescent="0.3">
      <c r="A141" s="18" t="s">
        <v>95</v>
      </c>
      <c r="B141" s="114"/>
      <c r="C141" s="116"/>
      <c r="D141" s="12">
        <v>2E-3</v>
      </c>
      <c r="E141" s="10">
        <v>1</v>
      </c>
      <c r="F141" s="12">
        <f>E141*D141*$B$2</f>
        <v>0.42875999999999997</v>
      </c>
      <c r="G141" s="12">
        <v>0.42970000000000003</v>
      </c>
      <c r="H141" s="12">
        <f>G141/(D141*$B$2)</f>
        <v>1.0021923686911094</v>
      </c>
    </row>
    <row r="143" spans="1:10" x14ac:dyDescent="0.3">
      <c r="A143" s="17">
        <v>45616</v>
      </c>
      <c r="B143" s="18" t="s">
        <v>66</v>
      </c>
      <c r="C143" s="18" t="s">
        <v>9</v>
      </c>
      <c r="D143" s="18" t="s">
        <v>68</v>
      </c>
      <c r="E143" s="18" t="s">
        <v>67</v>
      </c>
      <c r="F143" s="18" t="s">
        <v>69</v>
      </c>
      <c r="G143" s="20" t="s">
        <v>70</v>
      </c>
      <c r="H143" s="20" t="s">
        <v>89</v>
      </c>
    </row>
    <row r="144" spans="1:10" ht="15.6" x14ac:dyDescent="0.3">
      <c r="A144" s="18" t="s">
        <v>100</v>
      </c>
      <c r="B144" s="113">
        <v>107.11</v>
      </c>
      <c r="C144" s="116" t="s">
        <v>53</v>
      </c>
      <c r="D144" s="13">
        <v>2E-3</v>
      </c>
      <c r="E144" s="11">
        <v>0.5</v>
      </c>
      <c r="F144" s="13">
        <f>E144*D144*$B$10</f>
        <v>0.10711</v>
      </c>
      <c r="G144" s="13">
        <v>0.1074</v>
      </c>
      <c r="H144" s="12">
        <f>G144/($B$10*D144)</f>
        <v>0.50135374848286807</v>
      </c>
    </row>
    <row r="145" spans="1:10" ht="15.6" x14ac:dyDescent="0.3">
      <c r="A145" s="18" t="s">
        <v>101</v>
      </c>
      <c r="B145" s="114"/>
      <c r="C145" s="116"/>
      <c r="D145" s="13">
        <v>5.0000000000000001E-3</v>
      </c>
      <c r="E145" s="11">
        <v>1.5</v>
      </c>
      <c r="F145" s="13">
        <f>E145*D145*$B$10</f>
        <v>0.80332499999999996</v>
      </c>
      <c r="G145" s="13">
        <v>0.80420000000000003</v>
      </c>
      <c r="H145" s="12">
        <f>G145/($B$10*D145)</f>
        <v>1.5016338343758755</v>
      </c>
    </row>
    <row r="147" spans="1:10" x14ac:dyDescent="0.3">
      <c r="A147" s="17">
        <v>45616</v>
      </c>
      <c r="B147" s="115" t="s">
        <v>87</v>
      </c>
      <c r="C147" s="115"/>
      <c r="D147" s="108" t="s">
        <v>88</v>
      </c>
      <c r="E147" s="108"/>
      <c r="F147" s="109" t="s">
        <v>9</v>
      </c>
      <c r="G147" s="109"/>
      <c r="H147" s="110" t="s">
        <v>90</v>
      </c>
      <c r="I147" s="111"/>
      <c r="J147" s="112"/>
    </row>
    <row r="148" spans="1:10" ht="43.2" x14ac:dyDescent="0.3">
      <c r="A148" s="19" t="s">
        <v>83</v>
      </c>
      <c r="B148" s="19" t="s">
        <v>85</v>
      </c>
      <c r="C148" s="19" t="s">
        <v>84</v>
      </c>
      <c r="D148" s="19" t="s">
        <v>86</v>
      </c>
      <c r="E148" s="19" t="s">
        <v>84</v>
      </c>
      <c r="F148" s="19" t="s">
        <v>9</v>
      </c>
      <c r="G148" s="19" t="s">
        <v>84</v>
      </c>
      <c r="H148" s="19" t="s">
        <v>91</v>
      </c>
      <c r="I148" s="19" t="s">
        <v>92</v>
      </c>
      <c r="J148" s="22" t="s">
        <v>93</v>
      </c>
    </row>
    <row r="149" spans="1:10" ht="15.6" x14ac:dyDescent="0.3">
      <c r="A149" s="18">
        <v>4</v>
      </c>
      <c r="B149" s="10" t="s">
        <v>71</v>
      </c>
      <c r="C149" s="10">
        <v>1</v>
      </c>
      <c r="D149" s="10" t="s">
        <v>77</v>
      </c>
      <c r="E149" s="10">
        <v>1</v>
      </c>
      <c r="F149" s="10" t="s">
        <v>53</v>
      </c>
      <c r="G149" s="10">
        <v>8</v>
      </c>
      <c r="H149" s="13">
        <f>H140*C149/(C149+E149+G149)</f>
        <v>0.10033585222502099</v>
      </c>
      <c r="I149" s="13">
        <f>H144*E149/(C149+G149+E149)</f>
        <v>5.0135374848286805E-2</v>
      </c>
      <c r="J149" s="15">
        <f>I149/H149</f>
        <v>0.49967557693982917</v>
      </c>
    </row>
    <row r="150" spans="1:10" ht="15.6" x14ac:dyDescent="0.3">
      <c r="A150" s="18">
        <v>10</v>
      </c>
      <c r="B150" s="10" t="s">
        <v>72</v>
      </c>
      <c r="C150" s="10">
        <v>2</v>
      </c>
      <c r="D150" s="10" t="s">
        <v>78</v>
      </c>
      <c r="E150" s="10">
        <v>2</v>
      </c>
      <c r="F150" s="10" t="s">
        <v>53</v>
      </c>
      <c r="G150" s="10">
        <v>0</v>
      </c>
      <c r="H150" s="13">
        <f>H141*C150/(C150+E150+G150)</f>
        <v>0.5010961843455547</v>
      </c>
      <c r="I150" s="13">
        <f>H145*E150/(C150+G150+E150)</f>
        <v>0.75081691718793775</v>
      </c>
      <c r="J150" s="15">
        <f>I150/H150</f>
        <v>1.4983489011566216</v>
      </c>
    </row>
    <row r="152" spans="1:10" ht="15" thickBot="1" x14ac:dyDescent="0.35">
      <c r="A152" s="16"/>
      <c r="B152" s="16"/>
      <c r="C152" s="16"/>
      <c r="D152" s="16"/>
      <c r="E152" s="16"/>
      <c r="F152" s="16"/>
      <c r="G152" s="16"/>
      <c r="H152" s="16"/>
      <c r="I152" s="16"/>
      <c r="J152" s="23"/>
    </row>
    <row r="155" spans="1:10" x14ac:dyDescent="0.3">
      <c r="A155" s="17">
        <v>45617</v>
      </c>
      <c r="B155" s="18">
        <v>1</v>
      </c>
      <c r="C155" s="18" t="s">
        <v>9</v>
      </c>
      <c r="D155" s="18" t="s">
        <v>68</v>
      </c>
      <c r="E155" s="18" t="s">
        <v>67</v>
      </c>
      <c r="F155" s="18" t="s">
        <v>69</v>
      </c>
      <c r="G155" s="20" t="s">
        <v>70</v>
      </c>
      <c r="H155" s="20" t="s">
        <v>89</v>
      </c>
    </row>
    <row r="156" spans="1:10" ht="15.6" x14ac:dyDescent="0.3">
      <c r="A156" s="18" t="s">
        <v>94</v>
      </c>
      <c r="B156" s="113">
        <v>214.38</v>
      </c>
      <c r="C156" s="116" t="s">
        <v>53</v>
      </c>
      <c r="D156" s="12">
        <v>2E-3</v>
      </c>
      <c r="E156" s="10">
        <v>1</v>
      </c>
      <c r="F156" s="12">
        <f>E156*D156*$B$2</f>
        <v>0.42875999999999997</v>
      </c>
      <c r="G156" s="12">
        <v>0.42909999999999998</v>
      </c>
      <c r="H156" s="12">
        <f>G156/(D156*$B$2)</f>
        <v>1.0007929844201884</v>
      </c>
    </row>
    <row r="157" spans="1:10" ht="15.6" x14ac:dyDescent="0.3">
      <c r="A157" s="18" t="s">
        <v>95</v>
      </c>
      <c r="B157" s="114"/>
      <c r="C157" s="116"/>
      <c r="D157" s="12">
        <v>1E-3</v>
      </c>
      <c r="E157" s="10">
        <v>1</v>
      </c>
      <c r="F157" s="12">
        <f>E157*D157*$B$2</f>
        <v>0.21437999999999999</v>
      </c>
      <c r="G157" s="12">
        <v>0.21440000000000001</v>
      </c>
      <c r="H157" s="12">
        <f>G157/(D157*$B$2)</f>
        <v>1.0000932922847281</v>
      </c>
    </row>
    <row r="159" spans="1:10" x14ac:dyDescent="0.3">
      <c r="A159" s="17">
        <v>45617</v>
      </c>
      <c r="B159" s="18" t="s">
        <v>66</v>
      </c>
      <c r="C159" s="18" t="s">
        <v>9</v>
      </c>
      <c r="D159" s="18" t="s">
        <v>68</v>
      </c>
      <c r="E159" s="18" t="s">
        <v>67</v>
      </c>
      <c r="F159" s="18" t="s">
        <v>69</v>
      </c>
      <c r="G159" s="20" t="s">
        <v>70</v>
      </c>
      <c r="H159" s="20" t="s">
        <v>89</v>
      </c>
    </row>
    <row r="160" spans="1:10" ht="15.6" x14ac:dyDescent="0.3">
      <c r="A160" s="18" t="s">
        <v>100</v>
      </c>
      <c r="B160" s="113">
        <v>107.11</v>
      </c>
      <c r="C160" s="116" t="s">
        <v>53</v>
      </c>
      <c r="D160" s="13">
        <v>5.0000000000000001E-3</v>
      </c>
      <c r="E160" s="11">
        <v>0.5</v>
      </c>
      <c r="F160" s="13">
        <f>E160*D160*$B$10</f>
        <v>0.26777499999999999</v>
      </c>
      <c r="G160" s="13">
        <v>0.26779999999999998</v>
      </c>
      <c r="H160" s="12">
        <f>G160/($B$10*D160)</f>
        <v>0.50004668098216787</v>
      </c>
    </row>
    <row r="161" spans="1:10" ht="15.6" x14ac:dyDescent="0.3">
      <c r="A161" s="18" t="s">
        <v>101</v>
      </c>
      <c r="B161" s="114"/>
      <c r="C161" s="116"/>
      <c r="D161" s="13">
        <v>5.0000000000000001E-3</v>
      </c>
      <c r="E161" s="11">
        <v>0.5</v>
      </c>
      <c r="F161" s="13">
        <f>E161*D161*$B$10</f>
        <v>0.26777499999999999</v>
      </c>
      <c r="G161" s="13">
        <v>0.26779999999999998</v>
      </c>
      <c r="H161" s="12">
        <f>G161/($B$10*D161)</f>
        <v>0.50004668098216787</v>
      </c>
    </row>
    <row r="163" spans="1:10" x14ac:dyDescent="0.3">
      <c r="A163" s="17">
        <v>45617</v>
      </c>
      <c r="B163" s="115" t="s">
        <v>87</v>
      </c>
      <c r="C163" s="115"/>
      <c r="D163" s="108" t="s">
        <v>88</v>
      </c>
      <c r="E163" s="108"/>
      <c r="F163" s="109" t="s">
        <v>9</v>
      </c>
      <c r="G163" s="109"/>
      <c r="H163" s="110" t="s">
        <v>90</v>
      </c>
      <c r="I163" s="111"/>
      <c r="J163" s="112"/>
    </row>
    <row r="164" spans="1:10" ht="43.2" x14ac:dyDescent="0.3">
      <c r="A164" s="19" t="s">
        <v>83</v>
      </c>
      <c r="B164" s="19" t="s">
        <v>85</v>
      </c>
      <c r="C164" s="19" t="s">
        <v>84</v>
      </c>
      <c r="D164" s="19" t="s">
        <v>86</v>
      </c>
      <c r="E164" s="19" t="s">
        <v>84</v>
      </c>
      <c r="F164" s="19" t="s">
        <v>9</v>
      </c>
      <c r="G164" s="19" t="s">
        <v>84</v>
      </c>
      <c r="H164" s="19" t="s">
        <v>91</v>
      </c>
      <c r="I164" s="19" t="s">
        <v>92</v>
      </c>
      <c r="J164" s="22" t="s">
        <v>93</v>
      </c>
    </row>
    <row r="165" spans="1:10" ht="15.6" x14ac:dyDescent="0.3">
      <c r="A165" s="18">
        <v>19</v>
      </c>
      <c r="B165" s="10" t="s">
        <v>71</v>
      </c>
      <c r="C165" s="10">
        <v>2</v>
      </c>
      <c r="D165" s="10" t="s">
        <v>77</v>
      </c>
      <c r="E165" s="10">
        <v>2</v>
      </c>
      <c r="F165" s="10" t="s">
        <v>20</v>
      </c>
      <c r="G165" s="10">
        <v>0</v>
      </c>
      <c r="H165" s="13">
        <f>H156*C165/(C165+E165+G165)</f>
        <v>0.50039649221009419</v>
      </c>
      <c r="I165" s="13">
        <f>H160*E165/(C165+G165+E165)</f>
        <v>0.25002334049108393</v>
      </c>
      <c r="J165" s="15">
        <f>I165/H165</f>
        <v>0.49965046594713192</v>
      </c>
    </row>
    <row r="166" spans="1:10" ht="15.6" x14ac:dyDescent="0.3">
      <c r="A166" s="18">
        <v>26</v>
      </c>
      <c r="B166" s="10" t="s">
        <v>72</v>
      </c>
      <c r="C166" s="10">
        <v>1</v>
      </c>
      <c r="D166" s="10" t="s">
        <v>78</v>
      </c>
      <c r="E166" s="10">
        <v>3</v>
      </c>
      <c r="F166" s="10" t="s">
        <v>81</v>
      </c>
      <c r="G166" s="10">
        <v>6</v>
      </c>
      <c r="H166" s="13">
        <f>H157*C166/(C166+E166+G166)</f>
        <v>0.1000093292284728</v>
      </c>
      <c r="I166" s="13">
        <f>H161*E166/(C166+G166+E166)</f>
        <v>0.15001400429465037</v>
      </c>
      <c r="J166" s="15">
        <f>I166/H166</f>
        <v>1.5000001045096616</v>
      </c>
    </row>
    <row r="168" spans="1:10" ht="15" thickBot="1" x14ac:dyDescent="0.35">
      <c r="A168" s="16"/>
      <c r="B168" s="16"/>
      <c r="C168" s="16"/>
      <c r="D168" s="16"/>
      <c r="E168" s="16"/>
      <c r="F168" s="16"/>
      <c r="G168" s="16"/>
      <c r="H168" s="16"/>
      <c r="I168" s="16"/>
      <c r="J168" s="23"/>
    </row>
    <row r="171" spans="1:10" x14ac:dyDescent="0.3">
      <c r="A171" s="17">
        <v>45622</v>
      </c>
      <c r="B171" s="18">
        <v>1</v>
      </c>
      <c r="C171" s="18" t="s">
        <v>9</v>
      </c>
      <c r="D171" s="18" t="s">
        <v>68</v>
      </c>
      <c r="E171" s="18" t="s">
        <v>67</v>
      </c>
      <c r="F171" s="18" t="s">
        <v>69</v>
      </c>
      <c r="G171" s="20" t="s">
        <v>70</v>
      </c>
      <c r="H171" s="20" t="s">
        <v>89</v>
      </c>
    </row>
    <row r="172" spans="1:10" ht="15.6" x14ac:dyDescent="0.3">
      <c r="A172" s="18" t="s">
        <v>94</v>
      </c>
      <c r="B172" s="113">
        <v>214.38</v>
      </c>
      <c r="C172" s="10" t="s">
        <v>20</v>
      </c>
      <c r="D172" s="12">
        <v>1E-3</v>
      </c>
      <c r="E172" s="10">
        <v>1</v>
      </c>
      <c r="F172" s="12">
        <f>E172*D172*$B$2</f>
        <v>0.21437999999999999</v>
      </c>
      <c r="G172" s="12">
        <v>0.21440000000000001</v>
      </c>
      <c r="H172" s="12">
        <f>G172/(D172*$B$2)</f>
        <v>1.0000932922847281</v>
      </c>
    </row>
    <row r="173" spans="1:10" ht="15.6" x14ac:dyDescent="0.3">
      <c r="A173" s="18" t="s">
        <v>95</v>
      </c>
      <c r="B173" s="114"/>
      <c r="C173" s="10" t="s">
        <v>81</v>
      </c>
      <c r="D173" s="12">
        <v>1E-3</v>
      </c>
      <c r="E173" s="10">
        <v>1</v>
      </c>
      <c r="F173" s="12">
        <f>E173*D173*$B$2</f>
        <v>0.21437999999999999</v>
      </c>
      <c r="G173" s="12">
        <v>0.21529999999999999</v>
      </c>
      <c r="H173" s="12">
        <f>G173/(D173*$B$2)</f>
        <v>1.0042914450974905</v>
      </c>
    </row>
    <row r="175" spans="1:10" x14ac:dyDescent="0.3">
      <c r="A175" s="17">
        <v>45622</v>
      </c>
      <c r="B175" s="18" t="s">
        <v>66</v>
      </c>
      <c r="C175" s="18" t="s">
        <v>9</v>
      </c>
      <c r="D175" s="18" t="s">
        <v>68</v>
      </c>
      <c r="E175" s="18" t="s">
        <v>67</v>
      </c>
      <c r="F175" s="18" t="s">
        <v>69</v>
      </c>
      <c r="G175" s="20" t="s">
        <v>70</v>
      </c>
      <c r="H175" s="20" t="s">
        <v>89</v>
      </c>
    </row>
    <row r="176" spans="1:10" ht="15.6" x14ac:dyDescent="0.3">
      <c r="A176" s="18" t="s">
        <v>100</v>
      </c>
      <c r="B176" s="113">
        <v>107.11</v>
      </c>
      <c r="C176" s="10" t="s">
        <v>20</v>
      </c>
      <c r="D176" s="13">
        <v>5.0000000000000001E-3</v>
      </c>
      <c r="E176" s="11">
        <v>0.5</v>
      </c>
      <c r="F176" s="13">
        <f>E176*D176*$B$10</f>
        <v>0.26777499999999999</v>
      </c>
      <c r="G176" s="13">
        <v>0.26790000000000003</v>
      </c>
      <c r="H176" s="12">
        <f>G176/($B$10*D176)</f>
        <v>0.50023340491083945</v>
      </c>
    </row>
    <row r="177" spans="1:10" ht="15.6" x14ac:dyDescent="0.3">
      <c r="A177" s="18" t="s">
        <v>101</v>
      </c>
      <c r="B177" s="114"/>
      <c r="C177" s="10" t="s">
        <v>81</v>
      </c>
      <c r="D177" s="13">
        <v>2E-3</v>
      </c>
      <c r="E177" s="11">
        <v>0.5</v>
      </c>
      <c r="F177" s="13">
        <f>E177*D177*$B$10</f>
        <v>0.10711</v>
      </c>
      <c r="G177" s="13">
        <v>0.1072</v>
      </c>
      <c r="H177" s="12">
        <f>G177/($B$10*D177)</f>
        <v>0.50042012883951081</v>
      </c>
    </row>
    <row r="179" spans="1:10" x14ac:dyDescent="0.3">
      <c r="A179" s="17">
        <v>45622</v>
      </c>
      <c r="B179" s="115" t="s">
        <v>87</v>
      </c>
      <c r="C179" s="115"/>
      <c r="D179" s="108" t="s">
        <v>88</v>
      </c>
      <c r="E179" s="108"/>
      <c r="F179" s="109" t="s">
        <v>9</v>
      </c>
      <c r="G179" s="109"/>
      <c r="H179" s="110" t="s">
        <v>90</v>
      </c>
      <c r="I179" s="111"/>
      <c r="J179" s="112"/>
    </row>
    <row r="180" spans="1:10" ht="43.2" x14ac:dyDescent="0.3">
      <c r="A180" s="19" t="s">
        <v>83</v>
      </c>
      <c r="B180" s="19" t="s">
        <v>85</v>
      </c>
      <c r="C180" s="19" t="s">
        <v>84</v>
      </c>
      <c r="D180" s="19" t="s">
        <v>86</v>
      </c>
      <c r="E180" s="19" t="s">
        <v>84</v>
      </c>
      <c r="F180" s="19" t="s">
        <v>9</v>
      </c>
      <c r="G180" s="19" t="s">
        <v>84</v>
      </c>
      <c r="H180" s="19" t="s">
        <v>91</v>
      </c>
      <c r="I180" s="19" t="s">
        <v>92</v>
      </c>
      <c r="J180" s="22" t="s">
        <v>93</v>
      </c>
    </row>
    <row r="181" spans="1:10" ht="15.6" x14ac:dyDescent="0.3">
      <c r="A181" s="18">
        <v>12</v>
      </c>
      <c r="B181" s="10" t="s">
        <v>71</v>
      </c>
      <c r="C181" s="10">
        <v>1</v>
      </c>
      <c r="D181" s="10" t="s">
        <v>77</v>
      </c>
      <c r="E181" s="10">
        <v>3</v>
      </c>
      <c r="F181" s="10" t="s">
        <v>20</v>
      </c>
      <c r="G181" s="10">
        <v>6</v>
      </c>
      <c r="H181" s="13">
        <f>H172*C181/(C181+E181+G181)</f>
        <v>0.1000093292284728</v>
      </c>
      <c r="I181" s="13">
        <f>H176*E181/(C181+G181+E181)</f>
        <v>0.15007002147325182</v>
      </c>
      <c r="J181" s="15">
        <f>I181/H181</f>
        <v>1.5005602240408455</v>
      </c>
    </row>
    <row r="182" spans="1:10" ht="15.6" x14ac:dyDescent="0.3">
      <c r="A182" s="18">
        <v>23</v>
      </c>
      <c r="B182" s="10" t="s">
        <v>72</v>
      </c>
      <c r="C182" s="10">
        <v>1</v>
      </c>
      <c r="D182" s="10" t="s">
        <v>78</v>
      </c>
      <c r="E182" s="10">
        <v>1</v>
      </c>
      <c r="F182" s="10" t="s">
        <v>81</v>
      </c>
      <c r="G182" s="10">
        <v>8</v>
      </c>
      <c r="H182" s="13">
        <f>H173*C182/(C182+E182+G182)</f>
        <v>0.10042914450974905</v>
      </c>
      <c r="I182" s="13">
        <f>H177*E182/(C182+G182+E182)</f>
        <v>5.0042012883951083E-2</v>
      </c>
      <c r="J182" s="15">
        <f>I182/H182</f>
        <v>0.4982817799378278</v>
      </c>
    </row>
  </sheetData>
  <mergeCells count="81">
    <mergeCell ref="H15:J15"/>
    <mergeCell ref="B15:C15"/>
    <mergeCell ref="D15:E15"/>
    <mergeCell ref="F15:G15"/>
    <mergeCell ref="F17:F19"/>
    <mergeCell ref="B2:B7"/>
    <mergeCell ref="C2:C3"/>
    <mergeCell ref="B10:B13"/>
    <mergeCell ref="C10:C11"/>
    <mergeCell ref="C4:C5"/>
    <mergeCell ref="C6:C7"/>
    <mergeCell ref="B29:B30"/>
    <mergeCell ref="C29:C30"/>
    <mergeCell ref="B33:B34"/>
    <mergeCell ref="C33:C34"/>
    <mergeCell ref="F20:F21"/>
    <mergeCell ref="F22:F23"/>
    <mergeCell ref="B36:C36"/>
    <mergeCell ref="D36:E36"/>
    <mergeCell ref="F36:G36"/>
    <mergeCell ref="H36:J36"/>
    <mergeCell ref="F38:F40"/>
    <mergeCell ref="D52:E52"/>
    <mergeCell ref="F52:G52"/>
    <mergeCell ref="H52:J52"/>
    <mergeCell ref="F54:F55"/>
    <mergeCell ref="B46:B47"/>
    <mergeCell ref="C46:C47"/>
    <mergeCell ref="B52:C52"/>
    <mergeCell ref="H67:J67"/>
    <mergeCell ref="B64:B65"/>
    <mergeCell ref="C64:C65"/>
    <mergeCell ref="F69:F71"/>
    <mergeCell ref="B69:B71"/>
    <mergeCell ref="B67:C67"/>
    <mergeCell ref="D67:E67"/>
    <mergeCell ref="F67:G67"/>
    <mergeCell ref="H87:J87"/>
    <mergeCell ref="B77:B80"/>
    <mergeCell ref="C77:C78"/>
    <mergeCell ref="B83:B85"/>
    <mergeCell ref="B87:C87"/>
    <mergeCell ref="D87:E87"/>
    <mergeCell ref="F87:G87"/>
    <mergeCell ref="F107:G107"/>
    <mergeCell ref="H107:J107"/>
    <mergeCell ref="B98:B101"/>
    <mergeCell ref="B104:B105"/>
    <mergeCell ref="B107:C107"/>
    <mergeCell ref="D107:E107"/>
    <mergeCell ref="C99:C101"/>
    <mergeCell ref="F129:G129"/>
    <mergeCell ref="H129:J129"/>
    <mergeCell ref="B124:B127"/>
    <mergeCell ref="C124:C125"/>
    <mergeCell ref="B118:B121"/>
    <mergeCell ref="B129:C129"/>
    <mergeCell ref="D129:E129"/>
    <mergeCell ref="C118:C119"/>
    <mergeCell ref="B163:C163"/>
    <mergeCell ref="D163:E163"/>
    <mergeCell ref="F163:G163"/>
    <mergeCell ref="H163:J163"/>
    <mergeCell ref="C140:C141"/>
    <mergeCell ref="B140:B141"/>
    <mergeCell ref="B156:B157"/>
    <mergeCell ref="C156:C157"/>
    <mergeCell ref="B160:B161"/>
    <mergeCell ref="C160:C161"/>
    <mergeCell ref="H147:J147"/>
    <mergeCell ref="F147:G147"/>
    <mergeCell ref="D147:E147"/>
    <mergeCell ref="B147:C147"/>
    <mergeCell ref="C144:C145"/>
    <mergeCell ref="B144:B145"/>
    <mergeCell ref="D179:E179"/>
    <mergeCell ref="F179:G179"/>
    <mergeCell ref="H179:J179"/>
    <mergeCell ref="B172:B173"/>
    <mergeCell ref="B176:B177"/>
    <mergeCell ref="B179:C179"/>
  </mergeCells>
  <pageMargins left="0.7" right="0.7" top="0.75" bottom="0.75" header="0.3" footer="0.3"/>
  <ignoredErrors>
    <ignoredError sqref="I2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6FCAC-C96E-4BDD-B439-4C3B9BC8E5FB}">
  <dimension ref="A1:E16"/>
  <sheetViews>
    <sheetView zoomScale="85" zoomScaleNormal="85" workbookViewId="0">
      <selection activeCell="U23" sqref="U23"/>
    </sheetView>
  </sheetViews>
  <sheetFormatPr baseColWidth="10" defaultRowHeight="14.4" x14ac:dyDescent="0.3"/>
  <cols>
    <col min="1" max="1" width="13.88671875" bestFit="1" customWidth="1"/>
    <col min="2" max="2" width="12" bestFit="1" customWidth="1"/>
    <col min="3" max="3" width="11" bestFit="1" customWidth="1"/>
    <col min="4" max="4" width="10.33203125" bestFit="1" customWidth="1"/>
    <col min="5" max="5" width="11" bestFit="1" customWidth="1"/>
  </cols>
  <sheetData>
    <row r="1" spans="1:5" x14ac:dyDescent="0.3">
      <c r="A1" s="18" t="s">
        <v>112</v>
      </c>
      <c r="B1" s="18">
        <v>7</v>
      </c>
      <c r="C1" s="18">
        <v>5</v>
      </c>
      <c r="D1" s="18">
        <v>3</v>
      </c>
      <c r="E1" s="18">
        <v>1</v>
      </c>
    </row>
    <row r="2" spans="1:5" x14ac:dyDescent="0.3">
      <c r="A2" s="18" t="s">
        <v>113</v>
      </c>
      <c r="B2" s="10">
        <v>0.20691399999999999</v>
      </c>
      <c r="C2" s="10">
        <v>0.15246000000000001</v>
      </c>
      <c r="D2" s="10">
        <v>3.82739E-2</v>
      </c>
      <c r="E2" s="10">
        <v>-0.17756</v>
      </c>
    </row>
    <row r="3" spans="1:5" x14ac:dyDescent="0.3">
      <c r="A3" s="18" t="s">
        <v>114</v>
      </c>
      <c r="B3" s="10">
        <v>0.74321499999999996</v>
      </c>
      <c r="C3" s="10">
        <v>4.7237099999999997E-2</v>
      </c>
      <c r="D3" s="10">
        <v>0.62428399999999995</v>
      </c>
      <c r="E3" s="10">
        <v>-0.58427799999999996</v>
      </c>
    </row>
    <row r="4" spans="1:5" x14ac:dyDescent="0.3">
      <c r="A4" s="18" t="s">
        <v>115</v>
      </c>
      <c r="B4" s="10">
        <v>-0.107209</v>
      </c>
      <c r="C4" s="10">
        <v>-0.21726999999999999</v>
      </c>
      <c r="D4" s="10">
        <v>0.113556</v>
      </c>
      <c r="E4" s="10">
        <v>0.228689</v>
      </c>
    </row>
    <row r="5" spans="1:5" x14ac:dyDescent="0.3">
      <c r="A5" s="18" t="s">
        <v>116</v>
      </c>
      <c r="B5" s="10">
        <v>0.32240600000000003</v>
      </c>
      <c r="C5" s="10">
        <v>0.10236199999999999</v>
      </c>
      <c r="D5" s="10">
        <v>0.259515</v>
      </c>
      <c r="E5" s="10">
        <v>-0.304398</v>
      </c>
    </row>
    <row r="6" spans="1:5" x14ac:dyDescent="0.3">
      <c r="A6" s="18" t="s">
        <v>117</v>
      </c>
      <c r="B6" s="10">
        <v>0.16728199999999999</v>
      </c>
      <c r="C6" s="10">
        <v>-0.51809300000000003</v>
      </c>
      <c r="D6" s="10">
        <v>0.32292900000000002</v>
      </c>
      <c r="E6" s="10">
        <v>9.90177E-2</v>
      </c>
    </row>
    <row r="7" spans="1:5" x14ac:dyDescent="0.3">
      <c r="A7" s="18" t="s">
        <v>53</v>
      </c>
      <c r="B7" s="97">
        <v>-8.6704299999999998E-3</v>
      </c>
      <c r="C7" s="10">
        <v>5.6013100000000003E-2</v>
      </c>
      <c r="D7" s="10">
        <v>0.116574</v>
      </c>
      <c r="E7" s="10">
        <v>-3.4127900000000003E-2</v>
      </c>
    </row>
    <row r="8" spans="1:5" x14ac:dyDescent="0.3">
      <c r="A8" s="18" t="s">
        <v>20</v>
      </c>
      <c r="B8" s="97">
        <v>1.23774E-2</v>
      </c>
      <c r="C8" s="10">
        <v>0.27418300000000001</v>
      </c>
      <c r="D8" s="10">
        <v>0.14525199999999999</v>
      </c>
      <c r="E8" s="10">
        <v>-0.15227399999999999</v>
      </c>
    </row>
    <row r="9" spans="1:5" x14ac:dyDescent="0.3">
      <c r="A9" s="18" t="s">
        <v>81</v>
      </c>
      <c r="B9" s="97">
        <v>-3.7070200000000001E-3</v>
      </c>
      <c r="C9" s="10">
        <v>-0.33019599999999999</v>
      </c>
      <c r="D9" s="10">
        <v>-0.261826</v>
      </c>
      <c r="E9" s="10">
        <v>0.18640200000000001</v>
      </c>
    </row>
    <row r="12" spans="1:5" x14ac:dyDescent="0.3">
      <c r="A12" s="18" t="s">
        <v>112</v>
      </c>
      <c r="B12" s="18">
        <v>7</v>
      </c>
      <c r="C12" s="18">
        <v>5</v>
      </c>
      <c r="D12" s="18">
        <v>3</v>
      </c>
      <c r="E12" s="18">
        <v>1</v>
      </c>
    </row>
    <row r="13" spans="1:5" x14ac:dyDescent="0.3">
      <c r="A13" s="18" t="s">
        <v>118</v>
      </c>
      <c r="B13" s="10">
        <v>0.90770399999999996</v>
      </c>
      <c r="C13" s="10">
        <v>0.75516399999999995</v>
      </c>
      <c r="D13" s="10">
        <v>0.80810000000000004</v>
      </c>
      <c r="E13" s="10">
        <v>0.85216499999999995</v>
      </c>
    </row>
    <row r="14" spans="1:5" x14ac:dyDescent="0.3">
      <c r="A14" s="18" t="s">
        <v>119</v>
      </c>
      <c r="B14" s="10">
        <v>0.72839600000000004</v>
      </c>
      <c r="C14" s="10">
        <v>0.43692900000000001</v>
      </c>
      <c r="D14" s="10">
        <v>0.48269299999999998</v>
      </c>
      <c r="E14" s="10">
        <v>0.51607000000000003</v>
      </c>
    </row>
    <row r="15" spans="1:5" x14ac:dyDescent="0.3">
      <c r="A15" s="18" t="s">
        <v>120</v>
      </c>
      <c r="B15" s="10">
        <v>-0.2</v>
      </c>
      <c r="C15" s="10">
        <v>-7.0155099999999998E-2</v>
      </c>
      <c r="D15" s="10">
        <v>-0.2</v>
      </c>
      <c r="E15" s="10">
        <v>-0.2</v>
      </c>
    </row>
    <row r="16" spans="1:5" x14ac:dyDescent="0.3">
      <c r="A16" s="18" t="s">
        <v>121</v>
      </c>
      <c r="B16" s="10">
        <v>0.99977700000000003</v>
      </c>
      <c r="C16" s="10">
        <v>0.99354500000000001</v>
      </c>
      <c r="D16" s="10">
        <v>0.99975899999999995</v>
      </c>
      <c r="E16" s="10">
        <v>0.99972799999999995</v>
      </c>
    </row>
  </sheetData>
  <conditionalFormatting sqref="B2:E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3:E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0D3879534CCD4189BF3400F5A28924" ma:contentTypeVersion="4" ma:contentTypeDescription="Een nieuw document maken." ma:contentTypeScope="" ma:versionID="4fc23f5720dcca521ddc30dc74fae8e4">
  <xsd:schema xmlns:xsd="http://www.w3.org/2001/XMLSchema" xmlns:xs="http://www.w3.org/2001/XMLSchema" xmlns:p="http://schemas.microsoft.com/office/2006/metadata/properties" xmlns:ns3="f0b7775a-2bdd-4c90-8a14-501be7dd956b" targetNamespace="http://schemas.microsoft.com/office/2006/metadata/properties" ma:root="true" ma:fieldsID="1c21f416166770a126b1e3913b63d274" ns3:_="">
    <xsd:import namespace="f0b7775a-2bdd-4c90-8a14-501be7dd956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b7775a-2bdd-4c90-8a14-501be7dd95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096D37-2A6B-41DF-AE39-77A9143755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918E18-069C-4C01-91D1-5E444FA9E4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b7775a-2bdd-4c90-8a14-501be7dd95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9B746B-82EB-484A-8DFB-DA00740CA421}">
  <ds:schemaRefs>
    <ds:schemaRef ds:uri="http://purl.org/dc/elements/1.1/"/>
    <ds:schemaRef ds:uri="http://www.w3.org/XML/1998/namespace"/>
    <ds:schemaRef ds:uri="http://purl.org/dc/dcmitype/"/>
    <ds:schemaRef ds:uri="http://schemas.microsoft.com/office/2006/documentManagement/types"/>
    <ds:schemaRef ds:uri="f0b7775a-2bdd-4c90-8a14-501be7dd956b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Results</vt:lpstr>
      <vt:lpstr>Real mass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Gradelet Réjane</dc:creator>
  <cp:lastModifiedBy>Gradelet Réjane</cp:lastModifiedBy>
  <dcterms:created xsi:type="dcterms:W3CDTF">2024-08-28T07:35:04Z</dcterms:created>
  <dcterms:modified xsi:type="dcterms:W3CDTF">2025-02-17T12:17:50Z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0x010100BC0D3879534CCD4189BF3400F5A28924</vt:lpwstr>
  </property>
</Properties>
</file>